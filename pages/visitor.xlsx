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현재_통합_문서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anaconda3\project\visitor3\pages\"/>
    </mc:Choice>
  </mc:AlternateContent>
  <bookViews>
    <workbookView xWindow="0" yWindow="0" windowWidth="28800" windowHeight="12330" firstSheet="7" activeTab="8"/>
  </bookViews>
  <sheets>
    <sheet name="선형그래프" sheetId="7" state="hidden" r:id="rId1"/>
    <sheet name="b_line" sheetId="8" state="hidden" r:id="rId2"/>
    <sheet name="b_stick" sheetId="5" state="hidden" r:id="rId3"/>
    <sheet name="d_gra" sheetId="4" state="hidden" r:id="rId4"/>
    <sheet name="일자별요약" sheetId="9" state="hidden" r:id="rId5"/>
    <sheet name="별첨_전시별,주차별" sheetId="17" state="hidden" r:id="rId6"/>
    <sheet name="주차별보고" sheetId="16" state="hidden" r:id="rId7"/>
    <sheet name="Sheet1" sheetId="18" r:id="rId8"/>
    <sheet name="daily" sheetId="1" r:id="rId9"/>
    <sheet name="graph_사진" sheetId="11" state="hidden" r:id="rId10"/>
    <sheet name="일자별요약 (얼리포함)" sheetId="10" state="hidden" r:id="rId11"/>
  </sheets>
  <externalReferences>
    <externalReference r:id="rId12"/>
    <externalReference r:id="rId13"/>
  </externalReferences>
  <definedNames>
    <definedName name="_xlnm._FilterDatabase" localSheetId="8" hidden="1">daily!$A$2:$J$1548</definedName>
    <definedName name="BES입장현황">[1]전시일자별관람객!$L$3:$L$1549</definedName>
    <definedName name="_xlnm.Print_Area" localSheetId="9">graph_사진!$A$1:$S$147</definedName>
    <definedName name="_xlnm.Print_Area" localSheetId="4">일자별요약!$A$1:$J$113</definedName>
    <definedName name="_xlnm.Print_Area" localSheetId="10">'일자별요약 (얼리포함)'!$A$1:$J$56</definedName>
    <definedName name="_xlnm.Print_Area" localSheetId="6">주차별보고!$A$1:$O$49</definedName>
    <definedName name="t">OFFSET(b_line!$B$4,0,0,1,b_line!$A$1)</definedName>
    <definedName name="김정기">d_gra!$C$5:$C$130</definedName>
    <definedName name="김정기최근주">OFFSET(#REF!,0,0,#REF!,1)</definedName>
    <definedName name="당일누적_김정기">OFFSET(#REF!,0,0,#REF!,1)</definedName>
    <definedName name="당일누적_드리머">OFFSET(#REF!,0,0,#REF!,1)</definedName>
    <definedName name="당일누적_마르지엘라">OFFSET(#REF!,0,0,#REF!,1)</definedName>
    <definedName name="당일누적_바스키아">OFFSET(#REF!,0,0,#REF!,1)</definedName>
    <definedName name="당일누적_알렉스">OFFSET(#REF!,0,0,#REF!,1)</definedName>
    <definedName name="당일누적_오스틴리">OFFSET(#REF!,0,0,#REF!,1)</definedName>
    <definedName name="당일누적_윤협">OFFSET(#REF!,0,0,#REF!,1)</definedName>
    <definedName name="당일누적_제이알">OFFSET(#REF!,0,0,#REF!,1)</definedName>
    <definedName name="당일누적_페어리">OFFSET(#REF!,0,0,#REF!,1)</definedName>
    <definedName name="드리머">d_gra!$D$5:$D$130</definedName>
    <definedName name="드리머최근주">OFFSET(#REF!,0,0,#REF!,1)</definedName>
    <definedName name="링크테스트">#REF!</definedName>
    <definedName name="마르지엘라">d_gra!$G$5:$G$130</definedName>
    <definedName name="마르지엘라최근주">OFFSET(#REF!,0,0,#REF!,1)</definedName>
    <definedName name="바스키아">d_gra!$B$5:$B$130</definedName>
    <definedName name="바스키아최근주">OFFSET(#REF!,0,0,#REF!,1)</definedName>
    <definedName name="범위_김정기">OFFSET(b_line!$C$5,0,0,1,b_line!$B$2)</definedName>
    <definedName name="범위_드리머">OFFSET(b_line!$C$6,0,0,1,b_line!$B$2)</definedName>
    <definedName name="범위_마르지엘라">OFFSET(b_line!$C$9,0,0,1,b_line!$B$2)</definedName>
    <definedName name="범위_바스키아">OFFSET(b_line!$C$4,0,0,1,b_line!$B$2)</definedName>
    <definedName name="범위_알렉스">OFFSET(b_line!$C$7,0,0,1,b_line!$B$2)</definedName>
    <definedName name="범위_오스틴리">OFFSET(b_line!$C$11,0,0,1,b_line!$B$2)</definedName>
    <definedName name="범위_윤협">OFFSET(b_line!$C$12,0,0,1,b_line!$B$2)</definedName>
    <definedName name="범위_제이알">OFFSET(b_line!$C$10,0,0,1,b_line!$B$2)</definedName>
    <definedName name="범위_페어리">OFFSET(b_line!$C$8,0,0,1,b_line!$B$2)</definedName>
    <definedName name="알렉스">d_gra!$E$5:$E$130</definedName>
    <definedName name="알렉스최근주">OFFSET(#REF!,0,0,#REF!,1)</definedName>
    <definedName name="오스틴_리">d_gra!$I$5:$I$130</definedName>
    <definedName name="오스틴최근주">OFFSET(#REF!,0,0,#REF!,1)</definedName>
    <definedName name="윤협">d_gra!$J$5:$J$130</definedName>
    <definedName name="윤협최근주">OFFSET(#REF!,0,0,#REF!,1)</definedName>
    <definedName name="일자">[1]전시일자별관람객!$C$3:$C$1549</definedName>
    <definedName name="일차">OFFSET(b_line!$C$3,0,0,1,b_line!$B$2)</definedName>
    <definedName name="일차수">OFFSET(b_line!$B$4,0,0,9,b_line!$D$1-1)</definedName>
    <definedName name="잔여김정기">OFFSET(#REF!,#REF!,0,#REF!,1)</definedName>
    <definedName name="잔여드리머">OFFSET(#REF!,#REF!,0,#REF!,1)</definedName>
    <definedName name="잔여마르지엘라">OFFSET(#REF!,#REF!,0,#REF!,1)</definedName>
    <definedName name="잔여바스키아">OFFSET(#REF!,#REF!,0,#REF!,1)</definedName>
    <definedName name="잔여알렉스">OFFSET(#REF!,#REF!,0,#REF!,1)</definedName>
    <definedName name="잔여오스틴리">OFFSET(#REF!,#REF!,0,#REF!,1)</definedName>
    <definedName name="잔여제이알">OFFSET(#REF!,#REF!,0,#REF!,1)</definedName>
    <definedName name="잔여페어리">OFFSET(#REF!,#REF!,0,#REF!,1)</definedName>
    <definedName name="제이알">d_gra!$H$5:$H$130</definedName>
    <definedName name="제이알최근주">OFFSET(#REF!,0,0,#REF!,1)</definedName>
    <definedName name="페어리">d_gra!$F$5:$F$130</definedName>
    <definedName name="페어리최근주">OFFSET(#REF!,0,0,#REF!,1)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76" i="1" l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H1414" i="1" l="1"/>
  <c r="E1414" i="1"/>
  <c r="I1548" i="1" l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M1548" i="1" l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D1377" i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E18" i="16" l="1"/>
  <c r="D18" i="16"/>
  <c r="F18" i="16" l="1"/>
  <c r="G18" i="16" l="1"/>
  <c r="D45" i="16"/>
  <c r="E45" i="16" s="1"/>
  <c r="F45" i="16" s="1"/>
  <c r="G45" i="16" s="1"/>
  <c r="H45" i="16" s="1"/>
  <c r="I45" i="16" s="1"/>
  <c r="D34" i="16"/>
  <c r="E34" i="16" s="1"/>
  <c r="F34" i="16" s="1"/>
  <c r="G34" i="16" s="1"/>
  <c r="H34" i="16" s="1"/>
  <c r="I34" i="16" s="1"/>
  <c r="J34" i="16" s="1"/>
  <c r="K34" i="16" s="1"/>
  <c r="L34" i="16" s="1"/>
  <c r="A9" i="17"/>
  <c r="A10" i="17" s="1"/>
  <c r="A11" i="17" s="1"/>
  <c r="A12" i="17" s="1"/>
  <c r="A13" i="17" s="1"/>
  <c r="H18" i="16" l="1"/>
  <c r="A14" i="17"/>
  <c r="I18" i="16" l="1"/>
  <c r="A15" i="17"/>
  <c r="J18" i="16" l="1"/>
  <c r="A16" i="17"/>
  <c r="K18" i="16" l="1"/>
  <c r="A17" i="17"/>
  <c r="J8" i="16"/>
  <c r="J7" i="16" l="1"/>
  <c r="L7" i="16" s="1"/>
  <c r="L18" i="16"/>
  <c r="A18" i="17"/>
  <c r="J9" i="16" l="1"/>
  <c r="A19" i="17"/>
  <c r="A20" i="17" l="1"/>
  <c r="A21" i="17" l="1"/>
  <c r="A22" i="17" l="1"/>
  <c r="I144" i="5"/>
  <c r="I143" i="5"/>
  <c r="I142" i="5"/>
  <c r="I141" i="5"/>
  <c r="I140" i="5"/>
  <c r="I139" i="5"/>
  <c r="C135" i="5"/>
  <c r="C136" i="5" s="1"/>
  <c r="C137" i="5" s="1"/>
  <c r="C138" i="5" s="1"/>
  <c r="C139" i="5" s="1"/>
  <c r="C140" i="5" s="1"/>
  <c r="C141" i="5" s="1"/>
  <c r="C142" i="5" s="1"/>
  <c r="C143" i="5" s="1"/>
  <c r="C144" i="5" s="1"/>
  <c r="C134" i="5"/>
  <c r="A23" i="17" l="1"/>
  <c r="J51" i="10"/>
  <c r="I51" i="10"/>
  <c r="H51" i="10"/>
  <c r="G51" i="10"/>
  <c r="F51" i="10"/>
  <c r="E51" i="10"/>
  <c r="D51" i="10"/>
  <c r="C51" i="10"/>
  <c r="J40" i="10"/>
  <c r="I40" i="10"/>
  <c r="H40" i="10"/>
  <c r="G40" i="10"/>
  <c r="F40" i="10"/>
  <c r="E40" i="10"/>
  <c r="D40" i="10"/>
  <c r="C40" i="10"/>
  <c r="B40" i="10"/>
  <c r="C22" i="10"/>
  <c r="C23" i="10" s="1"/>
  <c r="D21" i="10"/>
  <c r="G18" i="10"/>
  <c r="E18" i="10"/>
  <c r="F18" i="10" s="1"/>
  <c r="D18" i="10"/>
  <c r="I17" i="10"/>
  <c r="H17" i="10"/>
  <c r="F17" i="10"/>
  <c r="I16" i="10"/>
  <c r="H16" i="10"/>
  <c r="F16" i="10"/>
  <c r="I15" i="10"/>
  <c r="I18" i="10" s="1"/>
  <c r="H15" i="10"/>
  <c r="F15" i="10"/>
  <c r="I14" i="10"/>
  <c r="H14" i="10"/>
  <c r="F14" i="10"/>
  <c r="E8" i="10"/>
  <c r="F7" i="10"/>
  <c r="G7" i="10" s="1"/>
  <c r="E7" i="10"/>
  <c r="H18" i="10" l="1"/>
  <c r="A24" i="17"/>
  <c r="H4" i="10"/>
  <c r="F8" i="10"/>
  <c r="B2" i="10"/>
  <c r="E21" i="10"/>
  <c r="D22" i="10"/>
  <c r="J44" i="9"/>
  <c r="I44" i="9"/>
  <c r="H44" i="9"/>
  <c r="G44" i="9"/>
  <c r="F44" i="9"/>
  <c r="E44" i="9"/>
  <c r="D44" i="9"/>
  <c r="C44" i="9"/>
  <c r="B44" i="9"/>
  <c r="N1" i="9" l="1"/>
  <c r="A25" i="17"/>
  <c r="J39" i="10"/>
  <c r="G8" i="10"/>
  <c r="D23" i="10"/>
  <c r="E22" i="10"/>
  <c r="F21" i="10"/>
  <c r="I21" i="9"/>
  <c r="I20" i="9"/>
  <c r="I19" i="9"/>
  <c r="I18" i="9"/>
  <c r="H21" i="9"/>
  <c r="H20" i="9"/>
  <c r="H19" i="9"/>
  <c r="H18" i="9"/>
  <c r="F21" i="9"/>
  <c r="F20" i="9"/>
  <c r="F19" i="9"/>
  <c r="D22" i="9"/>
  <c r="F18" i="9"/>
  <c r="G22" i="9"/>
  <c r="E22" i="9"/>
  <c r="C26" i="9" l="1"/>
  <c r="A26" i="17"/>
  <c r="E23" i="10"/>
  <c r="F22" i="10"/>
  <c r="G21" i="10"/>
  <c r="F22" i="9"/>
  <c r="H22" i="9"/>
  <c r="I22" i="9"/>
  <c r="A2" i="16" l="1"/>
  <c r="D7" i="16"/>
  <c r="D26" i="9"/>
  <c r="C27" i="9"/>
  <c r="A27" i="17"/>
  <c r="F23" i="10"/>
  <c r="G22" i="10"/>
  <c r="H21" i="10"/>
  <c r="J62" i="9"/>
  <c r="I62" i="9"/>
  <c r="H62" i="9"/>
  <c r="G62" i="9"/>
  <c r="F62" i="9"/>
  <c r="E62" i="9"/>
  <c r="D62" i="9"/>
  <c r="C62" i="9"/>
  <c r="F7" i="9"/>
  <c r="E8" i="9"/>
  <c r="E7" i="9"/>
  <c r="D8" i="16" l="1"/>
  <c r="M7" i="16"/>
  <c r="G7" i="16"/>
  <c r="E26" i="9"/>
  <c r="D27" i="9"/>
  <c r="G7" i="9"/>
  <c r="A89" i="9"/>
  <c r="A69" i="9"/>
  <c r="C25" i="9"/>
  <c r="A43" i="9"/>
  <c r="I21" i="10"/>
  <c r="G23" i="10"/>
  <c r="H22" i="10"/>
  <c r="F8" i="9"/>
  <c r="A2" i="9"/>
  <c r="H7" i="9"/>
  <c r="H4" i="9"/>
  <c r="F26" i="9" l="1"/>
  <c r="E27" i="9"/>
  <c r="M8" i="16"/>
  <c r="M9" i="16" s="1"/>
  <c r="G8" i="16"/>
  <c r="G9" i="16" s="1"/>
  <c r="J43" i="9"/>
  <c r="G8" i="9"/>
  <c r="H23" i="10"/>
  <c r="I22" i="10"/>
  <c r="I23" i="10" s="1"/>
  <c r="H8" i="9"/>
  <c r="D25" i="9"/>
  <c r="G26" i="9" l="1"/>
  <c r="F27" i="9"/>
  <c r="E25" i="9"/>
  <c r="H26" i="9" l="1"/>
  <c r="G27" i="9"/>
  <c r="F25" i="9"/>
  <c r="I26" i="9" l="1"/>
  <c r="I27" i="9" s="1"/>
  <c r="H27" i="9"/>
  <c r="G25" i="9"/>
  <c r="H25" i="9" l="1"/>
  <c r="I25" i="9" l="1"/>
  <c r="O5" i="5" l="1"/>
  <c r="C15" i="7" l="1"/>
  <c r="X3" i="5"/>
  <c r="F22" i="8"/>
  <c r="F21" i="8"/>
  <c r="A5" i="4" l="1"/>
  <c r="J4" i="4"/>
  <c r="I4" i="4"/>
  <c r="H4" i="4"/>
  <c r="G4" i="4"/>
  <c r="F4" i="4"/>
  <c r="E4" i="4"/>
  <c r="D4" i="4"/>
  <c r="C4" i="4"/>
  <c r="B4" i="4"/>
  <c r="J1328" i="1" l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A6" i="4" l="1"/>
  <c r="A7" i="4" l="1"/>
  <c r="A8" i="4" l="1"/>
  <c r="A9" i="4" l="1"/>
  <c r="A10" i="4" l="1"/>
  <c r="A11" i="4" l="1"/>
  <c r="A12" i="4" l="1"/>
  <c r="A13" i="4" l="1"/>
  <c r="A14" i="4" l="1"/>
  <c r="A15" i="4" l="1"/>
  <c r="A16" i="4" l="1"/>
  <c r="A17" i="4" l="1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D4" i="9" l="1"/>
  <c r="A98" i="4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L137" i="5" l="1"/>
  <c r="EA12" i="8" s="1"/>
  <c r="L138" i="5"/>
  <c r="EB12" i="8" s="1"/>
  <c r="L139" i="5"/>
  <c r="EC12" i="8" s="1"/>
  <c r="L140" i="5"/>
  <c r="ED12" i="8" s="1"/>
  <c r="L135" i="5"/>
  <c r="DY12" i="8" s="1"/>
  <c r="L136" i="5"/>
  <c r="DZ12" i="8" s="1"/>
  <c r="L141" i="5"/>
  <c r="EE12" i="8" s="1"/>
  <c r="L142" i="5"/>
  <c r="EF12" i="8" s="1"/>
  <c r="L143" i="5"/>
  <c r="EG12" i="8" s="1"/>
  <c r="L144" i="5"/>
  <c r="EH12" i="8" s="1"/>
  <c r="I52" i="10"/>
  <c r="J140" i="5"/>
  <c r="J137" i="5"/>
  <c r="J135" i="5"/>
  <c r="I63" i="9"/>
  <c r="J136" i="5"/>
  <c r="J141" i="5"/>
  <c r="J139" i="5"/>
  <c r="J144" i="5"/>
  <c r="J138" i="5"/>
  <c r="J143" i="5"/>
  <c r="J142" i="5"/>
  <c r="I64" i="9"/>
  <c r="I53" i="10"/>
  <c r="H144" i="5"/>
  <c r="H141" i="5"/>
  <c r="H139" i="5"/>
  <c r="G52" i="10"/>
  <c r="G63" i="9"/>
  <c r="H137" i="5"/>
  <c r="H135" i="5"/>
  <c r="H140" i="5"/>
  <c r="H136" i="5"/>
  <c r="H138" i="5"/>
  <c r="H143" i="5"/>
  <c r="H142" i="5"/>
  <c r="E139" i="5"/>
  <c r="E136" i="5"/>
  <c r="E135" i="5"/>
  <c r="E144" i="5"/>
  <c r="E138" i="5"/>
  <c r="E141" i="5"/>
  <c r="E143" i="5"/>
  <c r="E142" i="5"/>
  <c r="D52" i="10"/>
  <c r="E137" i="5"/>
  <c r="D63" i="9"/>
  <c r="E140" i="5"/>
  <c r="I54" i="10" l="1"/>
  <c r="I65" i="9"/>
  <c r="E39" i="5"/>
  <c r="C35" i="4"/>
  <c r="F63" i="4"/>
  <c r="H67" i="5"/>
  <c r="J102" i="5"/>
  <c r="H98" i="4"/>
  <c r="C46" i="4"/>
  <c r="E50" i="5"/>
  <c r="F90" i="4"/>
  <c r="H94" i="5"/>
  <c r="E49" i="5"/>
  <c r="C45" i="4"/>
  <c r="C127" i="4"/>
  <c r="E131" i="5"/>
  <c r="H125" i="5"/>
  <c r="F121" i="4"/>
  <c r="H61" i="5"/>
  <c r="F57" i="4"/>
  <c r="H92" i="4"/>
  <c r="J96" i="5"/>
  <c r="E96" i="5"/>
  <c r="C92" i="4"/>
  <c r="C44" i="4"/>
  <c r="E48" i="5"/>
  <c r="E132" i="5"/>
  <c r="C128" i="4"/>
  <c r="F120" i="4"/>
  <c r="H124" i="5"/>
  <c r="E111" i="5"/>
  <c r="C107" i="4"/>
  <c r="C75" i="4"/>
  <c r="E79" i="5"/>
  <c r="E63" i="5"/>
  <c r="C59" i="4"/>
  <c r="C43" i="4"/>
  <c r="E47" i="5"/>
  <c r="E31" i="5"/>
  <c r="C27" i="4"/>
  <c r="E15" i="5"/>
  <c r="C11" i="4"/>
  <c r="C116" i="4"/>
  <c r="E120" i="5"/>
  <c r="H123" i="5"/>
  <c r="F119" i="4"/>
  <c r="H107" i="5"/>
  <c r="F103" i="4"/>
  <c r="H91" i="5"/>
  <c r="F87" i="4"/>
  <c r="H75" i="5"/>
  <c r="F71" i="4"/>
  <c r="F55" i="4"/>
  <c r="H59" i="5"/>
  <c r="F39" i="4"/>
  <c r="H43" i="5"/>
  <c r="F23" i="4"/>
  <c r="H27" i="5"/>
  <c r="F7" i="4"/>
  <c r="H11" i="5"/>
  <c r="J126" i="5"/>
  <c r="H122" i="4"/>
  <c r="J110" i="5"/>
  <c r="H106" i="4"/>
  <c r="J94" i="5"/>
  <c r="H90" i="4"/>
  <c r="J78" i="5"/>
  <c r="H74" i="4"/>
  <c r="H58" i="4"/>
  <c r="J62" i="5"/>
  <c r="J46" i="5"/>
  <c r="H42" i="4"/>
  <c r="J30" i="5"/>
  <c r="H26" i="4"/>
  <c r="J14" i="5"/>
  <c r="H10" i="4"/>
  <c r="H7" i="4"/>
  <c r="J11" i="5"/>
  <c r="K135" i="5"/>
  <c r="J63" i="9"/>
  <c r="K144" i="5"/>
  <c r="J52" i="10"/>
  <c r="K143" i="5"/>
  <c r="K142" i="5"/>
  <c r="K137" i="5"/>
  <c r="K140" i="5"/>
  <c r="K139" i="5"/>
  <c r="K138" i="5"/>
  <c r="K141" i="5"/>
  <c r="K136" i="5"/>
  <c r="L125" i="5"/>
  <c r="DO12" i="8" s="1"/>
  <c r="J121" i="4"/>
  <c r="L109" i="5"/>
  <c r="CY12" i="8" s="1"/>
  <c r="J105" i="4"/>
  <c r="L93" i="5"/>
  <c r="CI12" i="8" s="1"/>
  <c r="J89" i="4"/>
  <c r="L77" i="5"/>
  <c r="BS12" i="8" s="1"/>
  <c r="J73" i="4"/>
  <c r="J57" i="4"/>
  <c r="L61" i="5"/>
  <c r="BC12" i="8" s="1"/>
  <c r="J41" i="4"/>
  <c r="L45" i="5"/>
  <c r="AM12" i="8" s="1"/>
  <c r="L29" i="5"/>
  <c r="W12" i="8" s="1"/>
  <c r="J25" i="4"/>
  <c r="L13" i="5"/>
  <c r="G12" i="8" s="1"/>
  <c r="J9" i="4"/>
  <c r="E106" i="5"/>
  <c r="C102" i="4"/>
  <c r="F114" i="4"/>
  <c r="H118" i="5"/>
  <c r="J57" i="5"/>
  <c r="H53" i="4"/>
  <c r="E41" i="5"/>
  <c r="C37" i="4"/>
  <c r="H85" i="5"/>
  <c r="F81" i="4"/>
  <c r="F17" i="4"/>
  <c r="H21" i="5"/>
  <c r="C68" i="4"/>
  <c r="E72" i="5"/>
  <c r="H132" i="5"/>
  <c r="F128" i="4"/>
  <c r="J23" i="5"/>
  <c r="H19" i="4"/>
  <c r="C67" i="4"/>
  <c r="E71" i="5"/>
  <c r="F79" i="4"/>
  <c r="H83" i="5"/>
  <c r="H82" i="4"/>
  <c r="J86" i="5"/>
  <c r="E82" i="5"/>
  <c r="C78" i="4"/>
  <c r="E113" i="5"/>
  <c r="C109" i="4"/>
  <c r="E65" i="5"/>
  <c r="C61" i="4"/>
  <c r="E117" i="5"/>
  <c r="C113" i="4"/>
  <c r="H77" i="5"/>
  <c r="F73" i="4"/>
  <c r="H13" i="5"/>
  <c r="F9" i="4"/>
  <c r="H76" i="4"/>
  <c r="J80" i="5"/>
  <c r="C76" i="4"/>
  <c r="E80" i="5"/>
  <c r="C28" i="4"/>
  <c r="E32" i="5"/>
  <c r="E122" i="5"/>
  <c r="C118" i="4"/>
  <c r="H108" i="5"/>
  <c r="F104" i="4"/>
  <c r="E95" i="5"/>
  <c r="C91" i="4"/>
  <c r="E110" i="5"/>
  <c r="C106" i="4"/>
  <c r="E94" i="5"/>
  <c r="C90" i="4"/>
  <c r="E78" i="5"/>
  <c r="C74" i="4"/>
  <c r="C58" i="4"/>
  <c r="E62" i="5"/>
  <c r="E46" i="5"/>
  <c r="C42" i="4"/>
  <c r="E30" i="5"/>
  <c r="C26" i="4"/>
  <c r="E14" i="5"/>
  <c r="C10" i="4"/>
  <c r="C121" i="4"/>
  <c r="E125" i="5"/>
  <c r="E119" i="5"/>
  <c r="C115" i="4"/>
  <c r="H122" i="5"/>
  <c r="F118" i="4"/>
  <c r="H106" i="5"/>
  <c r="F102" i="4"/>
  <c r="H90" i="5"/>
  <c r="F86" i="4"/>
  <c r="H74" i="5"/>
  <c r="F70" i="4"/>
  <c r="H58" i="5"/>
  <c r="F54" i="4"/>
  <c r="H42" i="5"/>
  <c r="F38" i="4"/>
  <c r="F22" i="4"/>
  <c r="H26" i="5"/>
  <c r="H121" i="4"/>
  <c r="J125" i="5"/>
  <c r="J109" i="5"/>
  <c r="H105" i="4"/>
  <c r="J93" i="5"/>
  <c r="H89" i="4"/>
  <c r="J77" i="5"/>
  <c r="H73" i="4"/>
  <c r="J61" i="5"/>
  <c r="H57" i="4"/>
  <c r="H41" i="4"/>
  <c r="J45" i="5"/>
  <c r="H25" i="4"/>
  <c r="J29" i="5"/>
  <c r="J13" i="5"/>
  <c r="H9" i="4"/>
  <c r="J9" i="5"/>
  <c r="H5" i="4"/>
  <c r="F144" i="5"/>
  <c r="E63" i="9"/>
  <c r="F143" i="5"/>
  <c r="F138" i="5"/>
  <c r="F135" i="5"/>
  <c r="F136" i="5"/>
  <c r="E52" i="10"/>
  <c r="F139" i="5"/>
  <c r="F142" i="5"/>
  <c r="F141" i="5"/>
  <c r="F137" i="5"/>
  <c r="F140" i="5"/>
  <c r="E66" i="9"/>
  <c r="E55" i="10"/>
  <c r="L124" i="5"/>
  <c r="DN12" i="8" s="1"/>
  <c r="J120" i="4"/>
  <c r="L108" i="5"/>
  <c r="CX12" i="8" s="1"/>
  <c r="J104" i="4"/>
  <c r="L92" i="5"/>
  <c r="CH12" i="8" s="1"/>
  <c r="J88" i="4"/>
  <c r="L76" i="5"/>
  <c r="BR12" i="8" s="1"/>
  <c r="J72" i="4"/>
  <c r="L60" i="5"/>
  <c r="BB12" i="8" s="1"/>
  <c r="J56" i="4"/>
  <c r="J40" i="4"/>
  <c r="L44" i="5"/>
  <c r="AL12" i="8" s="1"/>
  <c r="L28" i="5"/>
  <c r="V12" i="8" s="1"/>
  <c r="J24" i="4"/>
  <c r="D4" i="10"/>
  <c r="L12" i="5"/>
  <c r="F12" i="8" s="1"/>
  <c r="J8" i="4"/>
  <c r="F130" i="4"/>
  <c r="H134" i="5"/>
  <c r="J121" i="5"/>
  <c r="H117" i="4"/>
  <c r="E73" i="5"/>
  <c r="C69" i="4"/>
  <c r="C21" i="4"/>
  <c r="E25" i="5"/>
  <c r="F65" i="4"/>
  <c r="H69" i="5"/>
  <c r="E88" i="5"/>
  <c r="C84" i="4"/>
  <c r="F112" i="4"/>
  <c r="H116" i="5"/>
  <c r="H99" i="4"/>
  <c r="J103" i="5"/>
  <c r="E109" i="5"/>
  <c r="C105" i="4"/>
  <c r="E61" i="5"/>
  <c r="C57" i="4"/>
  <c r="C25" i="4"/>
  <c r="E29" i="5"/>
  <c r="E134" i="5"/>
  <c r="C130" i="4"/>
  <c r="H105" i="5"/>
  <c r="F101" i="4"/>
  <c r="H57" i="5"/>
  <c r="F53" i="4"/>
  <c r="H25" i="5"/>
  <c r="F21" i="4"/>
  <c r="J124" i="5"/>
  <c r="H120" i="4"/>
  <c r="H88" i="4"/>
  <c r="J92" i="5"/>
  <c r="J76" i="5"/>
  <c r="H72" i="4"/>
  <c r="J60" i="5"/>
  <c r="H56" i="4"/>
  <c r="J44" i="5"/>
  <c r="H40" i="4"/>
  <c r="J28" i="5"/>
  <c r="H24" i="4"/>
  <c r="H8" i="4"/>
  <c r="J12" i="5"/>
  <c r="H6" i="4"/>
  <c r="J10" i="5"/>
  <c r="E64" i="9"/>
  <c r="E53" i="10"/>
  <c r="G55" i="10"/>
  <c r="G66" i="9"/>
  <c r="L123" i="5"/>
  <c r="DM12" i="8" s="1"/>
  <c r="J119" i="4"/>
  <c r="L107" i="5"/>
  <c r="CW12" i="8" s="1"/>
  <c r="J103" i="4"/>
  <c r="L91" i="5"/>
  <c r="CG12" i="8" s="1"/>
  <c r="J87" i="4"/>
  <c r="J71" i="4"/>
  <c r="L75" i="5"/>
  <c r="BQ12" i="8" s="1"/>
  <c r="J55" i="4"/>
  <c r="L59" i="5"/>
  <c r="BA12" i="8" s="1"/>
  <c r="L43" i="5"/>
  <c r="AK12" i="8" s="1"/>
  <c r="J39" i="4"/>
  <c r="J23" i="4"/>
  <c r="L27" i="5"/>
  <c r="U12" i="8" s="1"/>
  <c r="F113" i="4"/>
  <c r="H117" i="5"/>
  <c r="J104" i="5"/>
  <c r="H100" i="4"/>
  <c r="E104" i="5"/>
  <c r="C100" i="4"/>
  <c r="E24" i="5"/>
  <c r="C20" i="4"/>
  <c r="H52" i="5"/>
  <c r="F48" i="4"/>
  <c r="H67" i="4"/>
  <c r="J71" i="5"/>
  <c r="E93" i="5"/>
  <c r="C89" i="4"/>
  <c r="E45" i="5"/>
  <c r="C41" i="4"/>
  <c r="E116" i="5"/>
  <c r="C112" i="4"/>
  <c r="F117" i="4"/>
  <c r="H121" i="5"/>
  <c r="F85" i="4"/>
  <c r="H89" i="5"/>
  <c r="H41" i="5"/>
  <c r="F37" i="4"/>
  <c r="H104" i="4"/>
  <c r="J108" i="5"/>
  <c r="E108" i="5"/>
  <c r="C104" i="4"/>
  <c r="C88" i="4"/>
  <c r="E92" i="5"/>
  <c r="C72" i="4"/>
  <c r="E76" i="5"/>
  <c r="E60" i="5"/>
  <c r="C56" i="4"/>
  <c r="E44" i="5"/>
  <c r="C40" i="4"/>
  <c r="E28" i="5"/>
  <c r="C24" i="4"/>
  <c r="E10" i="5"/>
  <c r="C6" i="4"/>
  <c r="F116" i="4"/>
  <c r="H120" i="5"/>
  <c r="H104" i="5"/>
  <c r="F100" i="4"/>
  <c r="H88" i="5"/>
  <c r="F84" i="4"/>
  <c r="F68" i="4"/>
  <c r="H72" i="5"/>
  <c r="H56" i="5"/>
  <c r="F52" i="4"/>
  <c r="H40" i="5"/>
  <c r="F36" i="4"/>
  <c r="H24" i="5"/>
  <c r="F20" i="4"/>
  <c r="H119" i="4"/>
  <c r="J123" i="5"/>
  <c r="J107" i="5"/>
  <c r="H103" i="4"/>
  <c r="J91" i="5"/>
  <c r="H87" i="4"/>
  <c r="J75" i="5"/>
  <c r="H71" i="4"/>
  <c r="J59" i="5"/>
  <c r="H55" i="4"/>
  <c r="H39" i="4"/>
  <c r="J43" i="5"/>
  <c r="J27" i="5"/>
  <c r="H23" i="4"/>
  <c r="C64" i="9"/>
  <c r="C53" i="10"/>
  <c r="L122" i="5"/>
  <c r="DL12" i="8" s="1"/>
  <c r="J118" i="4"/>
  <c r="J102" i="4"/>
  <c r="L106" i="5"/>
  <c r="CV12" i="8" s="1"/>
  <c r="L90" i="5"/>
  <c r="CF12" i="8" s="1"/>
  <c r="J86" i="4"/>
  <c r="L74" i="5"/>
  <c r="BP12" i="8" s="1"/>
  <c r="J70" i="4"/>
  <c r="J54" i="4"/>
  <c r="L58" i="5"/>
  <c r="AZ12" i="8" s="1"/>
  <c r="J38" i="4"/>
  <c r="L42" i="5"/>
  <c r="AJ12" i="8" s="1"/>
  <c r="L26" i="5"/>
  <c r="T12" i="8" s="1"/>
  <c r="J22" i="4"/>
  <c r="E42" i="5"/>
  <c r="C38" i="4"/>
  <c r="H70" i="5"/>
  <c r="F66" i="4"/>
  <c r="J41" i="5"/>
  <c r="H37" i="4"/>
  <c r="H37" i="5"/>
  <c r="F33" i="4"/>
  <c r="H68" i="5"/>
  <c r="F64" i="4"/>
  <c r="H83" i="4"/>
  <c r="J87" i="5"/>
  <c r="E77" i="5"/>
  <c r="C73" i="4"/>
  <c r="C123" i="4"/>
  <c r="E127" i="5"/>
  <c r="H73" i="5"/>
  <c r="F69" i="4"/>
  <c r="E107" i="5"/>
  <c r="C103" i="4"/>
  <c r="E91" i="5"/>
  <c r="C87" i="4"/>
  <c r="E75" i="5"/>
  <c r="C71" i="4"/>
  <c r="C55" i="4"/>
  <c r="E59" i="5"/>
  <c r="E43" i="5"/>
  <c r="C39" i="4"/>
  <c r="C23" i="4"/>
  <c r="E27" i="5"/>
  <c r="C117" i="4"/>
  <c r="E121" i="5"/>
  <c r="E9" i="5"/>
  <c r="C5" i="4"/>
  <c r="C129" i="4"/>
  <c r="E133" i="5"/>
  <c r="H119" i="5"/>
  <c r="F115" i="4"/>
  <c r="F99" i="4"/>
  <c r="H103" i="5"/>
  <c r="H87" i="5"/>
  <c r="F83" i="4"/>
  <c r="F67" i="4"/>
  <c r="H71" i="5"/>
  <c r="F51" i="4"/>
  <c r="H55" i="5"/>
  <c r="H39" i="5"/>
  <c r="F35" i="4"/>
  <c r="H23" i="5"/>
  <c r="F19" i="4"/>
  <c r="H9" i="5"/>
  <c r="F5" i="4"/>
  <c r="J122" i="5"/>
  <c r="H118" i="4"/>
  <c r="H102" i="4"/>
  <c r="J106" i="5"/>
  <c r="J90" i="5"/>
  <c r="H86" i="4"/>
  <c r="H70" i="4"/>
  <c r="J74" i="5"/>
  <c r="J58" i="5"/>
  <c r="H54" i="4"/>
  <c r="J42" i="5"/>
  <c r="H38" i="4"/>
  <c r="H22" i="4"/>
  <c r="J26" i="5"/>
  <c r="G138" i="5"/>
  <c r="G140" i="5"/>
  <c r="G143" i="5"/>
  <c r="G139" i="5"/>
  <c r="G137" i="5"/>
  <c r="G136" i="5"/>
  <c r="F52" i="10"/>
  <c r="G144" i="5"/>
  <c r="G135" i="5"/>
  <c r="G142" i="5"/>
  <c r="G141" i="5"/>
  <c r="F63" i="9"/>
  <c r="K8" i="16"/>
  <c r="J66" i="9"/>
  <c r="J55" i="10"/>
  <c r="L121" i="5"/>
  <c r="DK12" i="8" s="1"/>
  <c r="J117" i="4"/>
  <c r="L105" i="5"/>
  <c r="CU12" i="8" s="1"/>
  <c r="J101" i="4"/>
  <c r="L89" i="5"/>
  <c r="CE12" i="8" s="1"/>
  <c r="J85" i="4"/>
  <c r="J69" i="4"/>
  <c r="L73" i="5"/>
  <c r="BO12" i="8" s="1"/>
  <c r="J53" i="4"/>
  <c r="L57" i="5"/>
  <c r="AY12" i="8" s="1"/>
  <c r="L41" i="5"/>
  <c r="AI12" i="8" s="1"/>
  <c r="J37" i="4"/>
  <c r="L25" i="5"/>
  <c r="S12" i="8" s="1"/>
  <c r="J21" i="4"/>
  <c r="C70" i="4"/>
  <c r="E74" i="5"/>
  <c r="F50" i="4"/>
  <c r="H54" i="5"/>
  <c r="J25" i="5"/>
  <c r="H21" i="4"/>
  <c r="J64" i="9"/>
  <c r="J53" i="10"/>
  <c r="J116" i="4"/>
  <c r="L120" i="5"/>
  <c r="DJ12" i="8" s="1"/>
  <c r="J100" i="4"/>
  <c r="L104" i="5"/>
  <c r="CT12" i="8" s="1"/>
  <c r="L88" i="5"/>
  <c r="CD12" i="8" s="1"/>
  <c r="J84" i="4"/>
  <c r="L72" i="5"/>
  <c r="BN12" i="8" s="1"/>
  <c r="J68" i="4"/>
  <c r="L56" i="5"/>
  <c r="AX12" i="8" s="1"/>
  <c r="J52" i="4"/>
  <c r="L40" i="5"/>
  <c r="AH12" i="8" s="1"/>
  <c r="J36" i="4"/>
  <c r="J20" i="4"/>
  <c r="L24" i="5"/>
  <c r="R12" i="8" s="1"/>
  <c r="E26" i="5"/>
  <c r="C22" i="4"/>
  <c r="H22" i="5"/>
  <c r="F18" i="4"/>
  <c r="F97" i="4"/>
  <c r="H101" i="5"/>
  <c r="H68" i="4"/>
  <c r="J72" i="5"/>
  <c r="J40" i="5"/>
  <c r="H36" i="4"/>
  <c r="J24" i="5"/>
  <c r="H20" i="4"/>
  <c r="G64" i="9"/>
  <c r="G65" i="9" s="1"/>
  <c r="G53" i="10"/>
  <c r="G54" i="10" s="1"/>
  <c r="F55" i="10"/>
  <c r="F66" i="9"/>
  <c r="J115" i="4"/>
  <c r="L119" i="5"/>
  <c r="DI12" i="8" s="1"/>
  <c r="L103" i="5"/>
  <c r="CS12" i="8" s="1"/>
  <c r="J99" i="4"/>
  <c r="J83" i="4"/>
  <c r="L87" i="5"/>
  <c r="CC12" i="8" s="1"/>
  <c r="J67" i="4"/>
  <c r="L71" i="5"/>
  <c r="BM12" i="8" s="1"/>
  <c r="L55" i="5"/>
  <c r="AW12" i="8" s="1"/>
  <c r="J51" i="4"/>
  <c r="J35" i="4"/>
  <c r="L39" i="5"/>
  <c r="AG12" i="8" s="1"/>
  <c r="L23" i="5"/>
  <c r="Q12" i="8" s="1"/>
  <c r="J19" i="4"/>
  <c r="E130" i="5"/>
  <c r="C126" i="4"/>
  <c r="E105" i="5"/>
  <c r="C101" i="4"/>
  <c r="D64" i="9"/>
  <c r="D65" i="9" s="1"/>
  <c r="D53" i="10"/>
  <c r="D54" i="10" s="1"/>
  <c r="L134" i="5"/>
  <c r="DX12" i="8" s="1"/>
  <c r="J130" i="4"/>
  <c r="L118" i="5"/>
  <c r="DH12" i="8" s="1"/>
  <c r="J114" i="4"/>
  <c r="J98" i="4"/>
  <c r="L102" i="5"/>
  <c r="CR12" i="8" s="1"/>
  <c r="L86" i="5"/>
  <c r="CB12" i="8" s="1"/>
  <c r="J82" i="4"/>
  <c r="J66" i="4"/>
  <c r="L70" i="5"/>
  <c r="BL12" i="8" s="1"/>
  <c r="J50" i="4"/>
  <c r="L54" i="5"/>
  <c r="AV12" i="8" s="1"/>
  <c r="L38" i="5"/>
  <c r="AF12" i="8" s="1"/>
  <c r="J34" i="4"/>
  <c r="L22" i="5"/>
  <c r="P12" i="8" s="1"/>
  <c r="J18" i="4"/>
  <c r="D143" i="5"/>
  <c r="D136" i="5"/>
  <c r="C63" i="9"/>
  <c r="C52" i="10"/>
  <c r="D139" i="5"/>
  <c r="D144" i="5"/>
  <c r="D138" i="5"/>
  <c r="D137" i="5"/>
  <c r="D140" i="5"/>
  <c r="D141" i="5"/>
  <c r="D55" i="10"/>
  <c r="D66" i="9"/>
  <c r="L133" i="5"/>
  <c r="DW12" i="8" s="1"/>
  <c r="J129" i="4"/>
  <c r="J113" i="4"/>
  <c r="L117" i="5"/>
  <c r="DG12" i="8" s="1"/>
  <c r="J97" i="4"/>
  <c r="L101" i="5"/>
  <c r="CQ12" i="8" s="1"/>
  <c r="L85" i="5"/>
  <c r="CA12" i="8" s="1"/>
  <c r="J81" i="4"/>
  <c r="J65" i="4"/>
  <c r="L69" i="5"/>
  <c r="BK12" i="8" s="1"/>
  <c r="L53" i="5"/>
  <c r="AU12" i="8" s="1"/>
  <c r="J49" i="4"/>
  <c r="J33" i="4"/>
  <c r="L37" i="5"/>
  <c r="AE12" i="8" s="1"/>
  <c r="J17" i="4"/>
  <c r="L21" i="5"/>
  <c r="O12" i="8" s="1"/>
  <c r="J5" i="4"/>
  <c r="L9" i="5"/>
  <c r="H7" i="10"/>
  <c r="I7" i="9"/>
  <c r="H85" i="4"/>
  <c r="J89" i="5"/>
  <c r="E11" i="5"/>
  <c r="C7" i="4"/>
  <c r="J88" i="5"/>
  <c r="H84" i="4"/>
  <c r="E12" i="5"/>
  <c r="C8" i="4"/>
  <c r="F32" i="4"/>
  <c r="H36" i="5"/>
  <c r="J38" i="5"/>
  <c r="H34" i="4"/>
  <c r="J128" i="4"/>
  <c r="L132" i="5"/>
  <c r="DV12" i="8" s="1"/>
  <c r="J112" i="4"/>
  <c r="L116" i="5"/>
  <c r="DF12" i="8" s="1"/>
  <c r="J96" i="4"/>
  <c r="L100" i="5"/>
  <c r="CP12" i="8" s="1"/>
  <c r="L84" i="5"/>
  <c r="BZ12" i="8" s="1"/>
  <c r="J80" i="4"/>
  <c r="L68" i="5"/>
  <c r="BJ12" i="8" s="1"/>
  <c r="J64" i="4"/>
  <c r="J48" i="4"/>
  <c r="L52" i="5"/>
  <c r="AT12" i="8" s="1"/>
  <c r="L36" i="5"/>
  <c r="AD12" i="8" s="1"/>
  <c r="J32" i="4"/>
  <c r="L20" i="5"/>
  <c r="N12" i="8" s="1"/>
  <c r="J16" i="4"/>
  <c r="E13" i="5"/>
  <c r="C9" i="4"/>
  <c r="H35" i="5"/>
  <c r="F31" i="4"/>
  <c r="J54" i="5"/>
  <c r="H50" i="4"/>
  <c r="J22" i="5"/>
  <c r="H18" i="4"/>
  <c r="E102" i="5"/>
  <c r="C98" i="4"/>
  <c r="E70" i="5"/>
  <c r="C66" i="4"/>
  <c r="E54" i="5"/>
  <c r="C50" i="4"/>
  <c r="E22" i="5"/>
  <c r="C18" i="4"/>
  <c r="F110" i="4"/>
  <c r="H114" i="5"/>
  <c r="H82" i="5"/>
  <c r="F78" i="4"/>
  <c r="F46" i="4"/>
  <c r="H50" i="5"/>
  <c r="H18" i="5"/>
  <c r="F14" i="4"/>
  <c r="J133" i="5"/>
  <c r="H129" i="4"/>
  <c r="J101" i="5"/>
  <c r="H97" i="4"/>
  <c r="H65" i="4"/>
  <c r="J69" i="5"/>
  <c r="J37" i="5"/>
  <c r="H33" i="4"/>
  <c r="H17" i="4"/>
  <c r="J21" i="5"/>
  <c r="C97" i="4"/>
  <c r="E101" i="5"/>
  <c r="E85" i="5"/>
  <c r="C81" i="4"/>
  <c r="C65" i="4"/>
  <c r="E69" i="5"/>
  <c r="E53" i="5"/>
  <c r="C49" i="4"/>
  <c r="E37" i="5"/>
  <c r="C33" i="4"/>
  <c r="E21" i="5"/>
  <c r="C17" i="4"/>
  <c r="E118" i="5"/>
  <c r="C114" i="4"/>
  <c r="F125" i="4"/>
  <c r="H129" i="5"/>
  <c r="F109" i="4"/>
  <c r="H113" i="5"/>
  <c r="F93" i="4"/>
  <c r="H97" i="5"/>
  <c r="F77" i="4"/>
  <c r="H81" i="5"/>
  <c r="H65" i="5"/>
  <c r="F61" i="4"/>
  <c r="H49" i="5"/>
  <c r="F45" i="4"/>
  <c r="H33" i="5"/>
  <c r="F29" i="4"/>
  <c r="F13" i="4"/>
  <c r="H17" i="5"/>
  <c r="H128" i="4"/>
  <c r="J132" i="5"/>
  <c r="J116" i="5"/>
  <c r="H112" i="4"/>
  <c r="H96" i="4"/>
  <c r="J100" i="5"/>
  <c r="J84" i="5"/>
  <c r="H80" i="4"/>
  <c r="J68" i="5"/>
  <c r="H64" i="4"/>
  <c r="J52" i="5"/>
  <c r="H48" i="4"/>
  <c r="H32" i="4"/>
  <c r="J36" i="5"/>
  <c r="J20" i="5"/>
  <c r="H16" i="4"/>
  <c r="H66" i="9"/>
  <c r="H55" i="10"/>
  <c r="L131" i="5"/>
  <c r="DU12" i="8" s="1"/>
  <c r="J127" i="4"/>
  <c r="J111" i="4"/>
  <c r="L115" i="5"/>
  <c r="DE12" i="8" s="1"/>
  <c r="L99" i="5"/>
  <c r="CO12" i="8" s="1"/>
  <c r="J95" i="4"/>
  <c r="L83" i="5"/>
  <c r="BY12" i="8" s="1"/>
  <c r="J79" i="4"/>
  <c r="J63" i="4"/>
  <c r="L67" i="5"/>
  <c r="BI12" i="8" s="1"/>
  <c r="J47" i="4"/>
  <c r="L51" i="5"/>
  <c r="AS12" i="8" s="1"/>
  <c r="J31" i="4"/>
  <c r="L35" i="5"/>
  <c r="AC12" i="8" s="1"/>
  <c r="L19" i="5"/>
  <c r="M12" i="8" s="1"/>
  <c r="J15" i="4"/>
  <c r="L10" i="5"/>
  <c r="D12" i="8" s="1"/>
  <c r="J6" i="4"/>
  <c r="J105" i="5"/>
  <c r="H101" i="4"/>
  <c r="F49" i="4"/>
  <c r="H53" i="5"/>
  <c r="C120" i="4"/>
  <c r="E124" i="5"/>
  <c r="J39" i="5"/>
  <c r="H35" i="4"/>
  <c r="E103" i="5"/>
  <c r="C99" i="4"/>
  <c r="F47" i="4"/>
  <c r="H51" i="5"/>
  <c r="J70" i="5"/>
  <c r="H66" i="4"/>
  <c r="E86" i="5"/>
  <c r="C82" i="4"/>
  <c r="E38" i="5"/>
  <c r="C34" i="4"/>
  <c r="H130" i="5"/>
  <c r="F126" i="4"/>
  <c r="F94" i="4"/>
  <c r="H98" i="5"/>
  <c r="H66" i="5"/>
  <c r="F62" i="4"/>
  <c r="H34" i="5"/>
  <c r="F30" i="4"/>
  <c r="J117" i="5"/>
  <c r="H113" i="4"/>
  <c r="H81" i="4"/>
  <c r="J85" i="5"/>
  <c r="J53" i="5"/>
  <c r="H49" i="4"/>
  <c r="E100" i="5"/>
  <c r="C96" i="4"/>
  <c r="C80" i="4"/>
  <c r="E84" i="5"/>
  <c r="E68" i="5"/>
  <c r="C64" i="4"/>
  <c r="E52" i="5"/>
  <c r="C48" i="4"/>
  <c r="E36" i="5"/>
  <c r="C32" i="4"/>
  <c r="C16" i="4"/>
  <c r="E20" i="5"/>
  <c r="C125" i="4"/>
  <c r="E129" i="5"/>
  <c r="E126" i="5"/>
  <c r="C122" i="4"/>
  <c r="H128" i="5"/>
  <c r="F124" i="4"/>
  <c r="F108" i="4"/>
  <c r="H112" i="5"/>
  <c r="H96" i="5"/>
  <c r="F92" i="4"/>
  <c r="H80" i="5"/>
  <c r="F76" i="4"/>
  <c r="H64" i="5"/>
  <c r="F60" i="4"/>
  <c r="H48" i="5"/>
  <c r="F44" i="4"/>
  <c r="F28" i="4"/>
  <c r="H32" i="5"/>
  <c r="F12" i="4"/>
  <c r="H16" i="5"/>
  <c r="J131" i="5"/>
  <c r="H127" i="4"/>
  <c r="J115" i="5"/>
  <c r="H111" i="4"/>
  <c r="H95" i="4"/>
  <c r="J99" i="5"/>
  <c r="H79" i="4"/>
  <c r="J83" i="5"/>
  <c r="H63" i="4"/>
  <c r="J67" i="5"/>
  <c r="H47" i="4"/>
  <c r="J51" i="5"/>
  <c r="J35" i="5"/>
  <c r="H31" i="4"/>
  <c r="J19" i="5"/>
  <c r="H15" i="4"/>
  <c r="C66" i="9"/>
  <c r="C55" i="10"/>
  <c r="L130" i="5"/>
  <c r="DT12" i="8" s="1"/>
  <c r="J126" i="4"/>
  <c r="L114" i="5"/>
  <c r="DD12" i="8" s="1"/>
  <c r="J110" i="4"/>
  <c r="L98" i="5"/>
  <c r="CN12" i="8" s="1"/>
  <c r="J94" i="4"/>
  <c r="L82" i="5"/>
  <c r="BX12" i="8" s="1"/>
  <c r="J78" i="4"/>
  <c r="L66" i="5"/>
  <c r="BH12" i="8" s="1"/>
  <c r="J62" i="4"/>
  <c r="L50" i="5"/>
  <c r="AR12" i="8" s="1"/>
  <c r="J46" i="4"/>
  <c r="J30" i="4"/>
  <c r="L34" i="5"/>
  <c r="AB12" i="8" s="1"/>
  <c r="L18" i="5"/>
  <c r="L12" i="8" s="1"/>
  <c r="J14" i="4"/>
  <c r="L11" i="5"/>
  <c r="E12" i="8" s="1"/>
  <c r="J7" i="4"/>
  <c r="H38" i="5"/>
  <c r="F34" i="4"/>
  <c r="E89" i="5"/>
  <c r="C85" i="4"/>
  <c r="F6" i="4"/>
  <c r="H10" i="5"/>
  <c r="E115" i="5"/>
  <c r="C111" i="4"/>
  <c r="E99" i="5"/>
  <c r="C95" i="4"/>
  <c r="E83" i="5"/>
  <c r="C79" i="4"/>
  <c r="C63" i="4"/>
  <c r="E67" i="5"/>
  <c r="C47" i="4"/>
  <c r="E51" i="5"/>
  <c r="E35" i="5"/>
  <c r="C31" i="4"/>
  <c r="E19" i="5"/>
  <c r="C15" i="4"/>
  <c r="C124" i="4"/>
  <c r="E128" i="5"/>
  <c r="F123" i="4"/>
  <c r="H127" i="5"/>
  <c r="F107" i="4"/>
  <c r="H111" i="5"/>
  <c r="H95" i="5"/>
  <c r="F91" i="4"/>
  <c r="H79" i="5"/>
  <c r="F75" i="4"/>
  <c r="H63" i="5"/>
  <c r="F59" i="4"/>
  <c r="H47" i="5"/>
  <c r="F43" i="4"/>
  <c r="H31" i="5"/>
  <c r="F27" i="4"/>
  <c r="H15" i="5"/>
  <c r="F11" i="4"/>
  <c r="H126" i="4"/>
  <c r="J130" i="5"/>
  <c r="J114" i="5"/>
  <c r="H110" i="4"/>
  <c r="H94" i="4"/>
  <c r="J98" i="5"/>
  <c r="J82" i="5"/>
  <c r="H78" i="4"/>
  <c r="H62" i="4"/>
  <c r="J66" i="5"/>
  <c r="J50" i="5"/>
  <c r="H46" i="4"/>
  <c r="J34" i="5"/>
  <c r="H30" i="4"/>
  <c r="H14" i="4"/>
  <c r="J18" i="5"/>
  <c r="L129" i="5"/>
  <c r="DS12" i="8" s="1"/>
  <c r="J125" i="4"/>
  <c r="J109" i="4"/>
  <c r="L113" i="5"/>
  <c r="DC12" i="8" s="1"/>
  <c r="L97" i="5"/>
  <c r="CM12" i="8" s="1"/>
  <c r="J93" i="4"/>
  <c r="J77" i="4"/>
  <c r="L81" i="5"/>
  <c r="BW12" i="8" s="1"/>
  <c r="J61" i="4"/>
  <c r="L65" i="5"/>
  <c r="BG12" i="8" s="1"/>
  <c r="L49" i="5"/>
  <c r="AQ12" i="8" s="1"/>
  <c r="J45" i="4"/>
  <c r="L33" i="5"/>
  <c r="AA12" i="8" s="1"/>
  <c r="J29" i="4"/>
  <c r="L17" i="5"/>
  <c r="K12" i="8" s="1"/>
  <c r="J13" i="4"/>
  <c r="F16" i="4"/>
  <c r="H20" i="5"/>
  <c r="J55" i="5"/>
  <c r="H51" i="4"/>
  <c r="E87" i="5"/>
  <c r="C83" i="4"/>
  <c r="H131" i="5"/>
  <c r="F127" i="4"/>
  <c r="H130" i="4"/>
  <c r="J134" i="5"/>
  <c r="C62" i="4"/>
  <c r="E66" i="5"/>
  <c r="C119" i="4"/>
  <c r="E123" i="5"/>
  <c r="H126" i="5"/>
  <c r="F122" i="4"/>
  <c r="F74" i="4"/>
  <c r="H78" i="5"/>
  <c r="H62" i="5"/>
  <c r="F58" i="4"/>
  <c r="H46" i="5"/>
  <c r="F42" i="4"/>
  <c r="H30" i="5"/>
  <c r="F26" i="4"/>
  <c r="H14" i="5"/>
  <c r="F10" i="4"/>
  <c r="J129" i="5"/>
  <c r="H125" i="4"/>
  <c r="H109" i="4"/>
  <c r="J113" i="5"/>
  <c r="H93" i="4"/>
  <c r="J97" i="5"/>
  <c r="H77" i="4"/>
  <c r="J81" i="5"/>
  <c r="J65" i="5"/>
  <c r="H61" i="4"/>
  <c r="H45" i="4"/>
  <c r="J49" i="5"/>
  <c r="J33" i="5"/>
  <c r="H29" i="4"/>
  <c r="J17" i="5"/>
  <c r="H13" i="4"/>
  <c r="H64" i="9"/>
  <c r="H53" i="10"/>
  <c r="I66" i="9"/>
  <c r="I67" i="9" s="1"/>
  <c r="I55" i="10"/>
  <c r="I56" i="10" s="1"/>
  <c r="L128" i="5"/>
  <c r="DR12" i="8" s="1"/>
  <c r="J124" i="4"/>
  <c r="J108" i="4"/>
  <c r="L112" i="5"/>
  <c r="DB12" i="8" s="1"/>
  <c r="L96" i="5"/>
  <c r="CL12" i="8" s="1"/>
  <c r="J92" i="4"/>
  <c r="J76" i="4"/>
  <c r="L80" i="5"/>
  <c r="BV12" i="8" s="1"/>
  <c r="J60" i="4"/>
  <c r="L64" i="5"/>
  <c r="BF12" i="8" s="1"/>
  <c r="J44" i="4"/>
  <c r="L48" i="5"/>
  <c r="AP12" i="8" s="1"/>
  <c r="L32" i="5"/>
  <c r="Z12" i="8" s="1"/>
  <c r="J28" i="4"/>
  <c r="L16" i="5"/>
  <c r="J12" i="8" s="1"/>
  <c r="J12" i="4"/>
  <c r="E90" i="5"/>
  <c r="C86" i="4"/>
  <c r="H86" i="5"/>
  <c r="F82" i="4"/>
  <c r="F129" i="4"/>
  <c r="H133" i="5"/>
  <c r="J56" i="5"/>
  <c r="H52" i="4"/>
  <c r="C36" i="4"/>
  <c r="E40" i="5"/>
  <c r="F96" i="4"/>
  <c r="H100" i="5"/>
  <c r="J119" i="5"/>
  <c r="H115" i="4"/>
  <c r="E23" i="5"/>
  <c r="C19" i="4"/>
  <c r="H99" i="5"/>
  <c r="F95" i="4"/>
  <c r="H19" i="5"/>
  <c r="F15" i="4"/>
  <c r="E114" i="5"/>
  <c r="C110" i="4"/>
  <c r="E34" i="5"/>
  <c r="C30" i="4"/>
  <c r="E18" i="5"/>
  <c r="C14" i="4"/>
  <c r="E97" i="5"/>
  <c r="C93" i="4"/>
  <c r="E33" i="5"/>
  <c r="C29" i="4"/>
  <c r="F89" i="4"/>
  <c r="H93" i="5"/>
  <c r="H29" i="5"/>
  <c r="F25" i="4"/>
  <c r="J128" i="5"/>
  <c r="H124" i="4"/>
  <c r="J64" i="5"/>
  <c r="H60" i="4"/>
  <c r="H44" i="4"/>
  <c r="J48" i="5"/>
  <c r="J32" i="5"/>
  <c r="H28" i="4"/>
  <c r="J16" i="5"/>
  <c r="H12" i="4"/>
  <c r="F64" i="9"/>
  <c r="F53" i="10"/>
  <c r="L127" i="5"/>
  <c r="DQ12" i="8" s="1"/>
  <c r="J123" i="4"/>
  <c r="L111" i="5"/>
  <c r="DA12" i="8" s="1"/>
  <c r="J107" i="4"/>
  <c r="L95" i="5"/>
  <c r="CK12" i="8" s="1"/>
  <c r="J91" i="4"/>
  <c r="L79" i="5"/>
  <c r="BU12" i="8" s="1"/>
  <c r="J75" i="4"/>
  <c r="L63" i="5"/>
  <c r="BE12" i="8" s="1"/>
  <c r="J59" i="4"/>
  <c r="L47" i="5"/>
  <c r="AO12" i="8" s="1"/>
  <c r="J43" i="4"/>
  <c r="J27" i="4"/>
  <c r="L31" i="5"/>
  <c r="Y12" i="8" s="1"/>
  <c r="L15" i="5"/>
  <c r="I12" i="8" s="1"/>
  <c r="J11" i="4"/>
  <c r="E58" i="5"/>
  <c r="C54" i="4"/>
  <c r="F98" i="4"/>
  <c r="H102" i="5"/>
  <c r="J73" i="5"/>
  <c r="H69" i="4"/>
  <c r="C53" i="4"/>
  <c r="E57" i="5"/>
  <c r="H116" i="4"/>
  <c r="J120" i="5"/>
  <c r="E56" i="5"/>
  <c r="C52" i="4"/>
  <c r="H84" i="5"/>
  <c r="F80" i="4"/>
  <c r="C51" i="4"/>
  <c r="E55" i="5"/>
  <c r="H115" i="5"/>
  <c r="F111" i="4"/>
  <c r="H114" i="4"/>
  <c r="J118" i="5"/>
  <c r="E98" i="5"/>
  <c r="C94" i="4"/>
  <c r="F106" i="4"/>
  <c r="H110" i="5"/>
  <c r="E81" i="5"/>
  <c r="C77" i="4"/>
  <c r="E17" i="5"/>
  <c r="C13" i="4"/>
  <c r="H109" i="5"/>
  <c r="F105" i="4"/>
  <c r="H45" i="5"/>
  <c r="F41" i="4"/>
  <c r="J112" i="5"/>
  <c r="H108" i="4"/>
  <c r="E112" i="5"/>
  <c r="C108" i="4"/>
  <c r="C60" i="4"/>
  <c r="E64" i="5"/>
  <c r="C12" i="4"/>
  <c r="E16" i="5"/>
  <c r="F88" i="4"/>
  <c r="H92" i="5"/>
  <c r="F72" i="4"/>
  <c r="H76" i="5"/>
  <c r="H60" i="5"/>
  <c r="F56" i="4"/>
  <c r="H44" i="5"/>
  <c r="F40" i="4"/>
  <c r="F24" i="4"/>
  <c r="H28" i="5"/>
  <c r="H12" i="5"/>
  <c r="F8" i="4"/>
  <c r="J127" i="5"/>
  <c r="H123" i="4"/>
  <c r="H107" i="4"/>
  <c r="J111" i="5"/>
  <c r="J95" i="5"/>
  <c r="H91" i="4"/>
  <c r="H75" i="4"/>
  <c r="J79" i="5"/>
  <c r="H59" i="4"/>
  <c r="J63" i="5"/>
  <c r="J47" i="5"/>
  <c r="H43" i="4"/>
  <c r="J31" i="5"/>
  <c r="H27" i="4"/>
  <c r="J15" i="5"/>
  <c r="H11" i="4"/>
  <c r="H63" i="9"/>
  <c r="H52" i="10"/>
  <c r="I136" i="5"/>
  <c r="I137" i="5"/>
  <c r="I138" i="5"/>
  <c r="I135" i="5"/>
  <c r="L126" i="5"/>
  <c r="DP12" i="8" s="1"/>
  <c r="J122" i="4"/>
  <c r="J106" i="4"/>
  <c r="L110" i="5"/>
  <c r="CZ12" i="8" s="1"/>
  <c r="J90" i="4"/>
  <c r="L94" i="5"/>
  <c r="CJ12" i="8" s="1"/>
  <c r="J74" i="4"/>
  <c r="L78" i="5"/>
  <c r="BT12" i="8" s="1"/>
  <c r="J58" i="4"/>
  <c r="L62" i="5"/>
  <c r="BD12" i="8" s="1"/>
  <c r="J42" i="4"/>
  <c r="L46" i="5"/>
  <c r="AN12" i="8" s="1"/>
  <c r="L30" i="5"/>
  <c r="X12" i="8" s="1"/>
  <c r="J26" i="4"/>
  <c r="L14" i="5"/>
  <c r="H12" i="8" s="1"/>
  <c r="J10" i="4"/>
  <c r="J65" i="9" l="1"/>
  <c r="G67" i="9"/>
  <c r="J54" i="10"/>
  <c r="F65" i="9"/>
  <c r="F9" i="9"/>
  <c r="G56" i="10"/>
  <c r="F54" i="10"/>
  <c r="F56" i="10" s="1"/>
  <c r="F67" i="9"/>
  <c r="C45" i="9"/>
  <c r="C54" i="10"/>
  <c r="C56" i="10" s="1"/>
  <c r="H50" i="9"/>
  <c r="H45" i="10"/>
  <c r="F45" i="9"/>
  <c r="F41" i="10"/>
  <c r="J45" i="9"/>
  <c r="J41" i="10"/>
  <c r="I91" i="5"/>
  <c r="G87" i="4"/>
  <c r="G101" i="4"/>
  <c r="I105" i="5"/>
  <c r="I25" i="5"/>
  <c r="G21" i="4"/>
  <c r="I120" i="5"/>
  <c r="G116" i="4"/>
  <c r="I56" i="5"/>
  <c r="G52" i="4"/>
  <c r="I103" i="5"/>
  <c r="G99" i="4"/>
  <c r="G67" i="4"/>
  <c r="I71" i="5"/>
  <c r="G35" i="4"/>
  <c r="I39" i="5"/>
  <c r="I23" i="5"/>
  <c r="G19" i="4"/>
  <c r="I102" i="5"/>
  <c r="G98" i="4"/>
  <c r="I22" i="5"/>
  <c r="G18" i="4"/>
  <c r="I7" i="10"/>
  <c r="J4" i="10"/>
  <c r="J14" i="10"/>
  <c r="D121" i="5"/>
  <c r="B117" i="4"/>
  <c r="D105" i="5"/>
  <c r="B101" i="4"/>
  <c r="D89" i="5"/>
  <c r="B85" i="4"/>
  <c r="D73" i="5"/>
  <c r="B69" i="4"/>
  <c r="B53" i="4"/>
  <c r="D57" i="5"/>
  <c r="B37" i="4"/>
  <c r="D41" i="5"/>
  <c r="D25" i="5"/>
  <c r="B21" i="4"/>
  <c r="D135" i="5"/>
  <c r="D67" i="9"/>
  <c r="G131" i="5"/>
  <c r="E127" i="4"/>
  <c r="G115" i="5"/>
  <c r="E111" i="4"/>
  <c r="G99" i="5"/>
  <c r="E95" i="4"/>
  <c r="E79" i="4"/>
  <c r="G83" i="5"/>
  <c r="G67" i="5"/>
  <c r="E63" i="4"/>
  <c r="G51" i="5"/>
  <c r="E47" i="4"/>
  <c r="G35" i="5"/>
  <c r="E31" i="4"/>
  <c r="G19" i="5"/>
  <c r="E15" i="4"/>
  <c r="D119" i="4"/>
  <c r="F123" i="5"/>
  <c r="F107" i="5"/>
  <c r="D103" i="4"/>
  <c r="F91" i="5"/>
  <c r="D87" i="4"/>
  <c r="F75" i="5"/>
  <c r="D71" i="4"/>
  <c r="F59" i="5"/>
  <c r="D55" i="4"/>
  <c r="D39" i="4"/>
  <c r="F43" i="5"/>
  <c r="D23" i="4"/>
  <c r="F27" i="5"/>
  <c r="D8" i="4"/>
  <c r="F12" i="5"/>
  <c r="I121" i="4"/>
  <c r="K125" i="5"/>
  <c r="I105" i="4"/>
  <c r="K109" i="5"/>
  <c r="K93" i="5"/>
  <c r="I89" i="4"/>
  <c r="K77" i="5"/>
  <c r="I73" i="4"/>
  <c r="K61" i="5"/>
  <c r="I57" i="4"/>
  <c r="I41" i="4"/>
  <c r="K45" i="5"/>
  <c r="K29" i="5"/>
  <c r="I25" i="4"/>
  <c r="I9" i="4"/>
  <c r="K13" i="5"/>
  <c r="G130" i="4"/>
  <c r="I134" i="5"/>
  <c r="I86" i="5"/>
  <c r="G82" i="4"/>
  <c r="I114" i="5"/>
  <c r="G110" i="4"/>
  <c r="G124" i="4"/>
  <c r="I128" i="5"/>
  <c r="I96" i="5"/>
  <c r="G92" i="4"/>
  <c r="G76" i="4"/>
  <c r="I80" i="5"/>
  <c r="G60" i="4"/>
  <c r="I64" i="5"/>
  <c r="G44" i="4"/>
  <c r="I48" i="5"/>
  <c r="G28" i="4"/>
  <c r="I32" i="5"/>
  <c r="G12" i="4"/>
  <c r="I16" i="5"/>
  <c r="H65" i="9"/>
  <c r="H67" i="9" s="1"/>
  <c r="I127" i="5"/>
  <c r="G123" i="4"/>
  <c r="I111" i="5"/>
  <c r="G107" i="4"/>
  <c r="I95" i="5"/>
  <c r="G91" i="4"/>
  <c r="G75" i="4"/>
  <c r="I79" i="5"/>
  <c r="I63" i="5"/>
  <c r="G59" i="4"/>
  <c r="I47" i="5"/>
  <c r="G43" i="4"/>
  <c r="I31" i="5"/>
  <c r="G27" i="4"/>
  <c r="G11" i="4"/>
  <c r="I15" i="5"/>
  <c r="D120" i="5"/>
  <c r="B116" i="4"/>
  <c r="D104" i="5"/>
  <c r="B100" i="4"/>
  <c r="D88" i="5"/>
  <c r="B84" i="4"/>
  <c r="D72" i="5"/>
  <c r="B68" i="4"/>
  <c r="D56" i="5"/>
  <c r="B52" i="4"/>
  <c r="D40" i="5"/>
  <c r="B36" i="4"/>
  <c r="B20" i="4"/>
  <c r="D24" i="5"/>
  <c r="E126" i="4"/>
  <c r="G130" i="5"/>
  <c r="E110" i="4"/>
  <c r="G114" i="5"/>
  <c r="G98" i="5"/>
  <c r="E94" i="4"/>
  <c r="E78" i="4"/>
  <c r="G82" i="5"/>
  <c r="G66" i="5"/>
  <c r="E62" i="4"/>
  <c r="G50" i="5"/>
  <c r="E46" i="4"/>
  <c r="E30" i="4"/>
  <c r="G34" i="5"/>
  <c r="E14" i="4"/>
  <c r="G18" i="5"/>
  <c r="D118" i="4"/>
  <c r="F122" i="5"/>
  <c r="F106" i="5"/>
  <c r="D102" i="4"/>
  <c r="F90" i="5"/>
  <c r="D86" i="4"/>
  <c r="F74" i="5"/>
  <c r="D70" i="4"/>
  <c r="F58" i="5"/>
  <c r="D54" i="4"/>
  <c r="F42" i="5"/>
  <c r="D38" i="4"/>
  <c r="F26" i="5"/>
  <c r="D22" i="4"/>
  <c r="F9" i="5"/>
  <c r="D5" i="4"/>
  <c r="I120" i="4"/>
  <c r="K124" i="5"/>
  <c r="K108" i="5"/>
  <c r="I104" i="4"/>
  <c r="K92" i="5"/>
  <c r="I88" i="4"/>
  <c r="K76" i="5"/>
  <c r="I72" i="4"/>
  <c r="K60" i="5"/>
  <c r="I56" i="4"/>
  <c r="K44" i="5"/>
  <c r="I40" i="4"/>
  <c r="I24" i="4"/>
  <c r="K28" i="5"/>
  <c r="K12" i="5"/>
  <c r="I8" i="4"/>
  <c r="I112" i="5"/>
  <c r="G108" i="4"/>
  <c r="G122" i="4"/>
  <c r="I126" i="5"/>
  <c r="G106" i="4"/>
  <c r="I110" i="5"/>
  <c r="G90" i="4"/>
  <c r="I94" i="5"/>
  <c r="G74" i="4"/>
  <c r="I78" i="5"/>
  <c r="I62" i="5"/>
  <c r="G58" i="4"/>
  <c r="I46" i="5"/>
  <c r="G42" i="4"/>
  <c r="I30" i="5"/>
  <c r="G26" i="4"/>
  <c r="G10" i="4"/>
  <c r="I14" i="5"/>
  <c r="C12" i="8"/>
  <c r="O14" i="5"/>
  <c r="D119" i="5"/>
  <c r="B115" i="4"/>
  <c r="D103" i="5"/>
  <c r="B99" i="4"/>
  <c r="D87" i="5"/>
  <c r="B83" i="4"/>
  <c r="B67" i="4"/>
  <c r="D71" i="5"/>
  <c r="B51" i="4"/>
  <c r="D55" i="5"/>
  <c r="D39" i="5"/>
  <c r="B35" i="4"/>
  <c r="D23" i="5"/>
  <c r="B19" i="4"/>
  <c r="G129" i="5"/>
  <c r="E125" i="4"/>
  <c r="E109" i="4"/>
  <c r="G113" i="5"/>
  <c r="E93" i="4"/>
  <c r="G97" i="5"/>
  <c r="G81" i="5"/>
  <c r="E77" i="4"/>
  <c r="G65" i="5"/>
  <c r="E61" i="4"/>
  <c r="G49" i="5"/>
  <c r="E45" i="4"/>
  <c r="G33" i="5"/>
  <c r="E29" i="4"/>
  <c r="E13" i="4"/>
  <c r="G17" i="5"/>
  <c r="E54" i="10"/>
  <c r="E56" i="10" s="1"/>
  <c r="D117" i="4"/>
  <c r="F121" i="5"/>
  <c r="D101" i="4"/>
  <c r="F105" i="5"/>
  <c r="D85" i="4"/>
  <c r="F89" i="5"/>
  <c r="F73" i="5"/>
  <c r="D69" i="4"/>
  <c r="D53" i="4"/>
  <c r="F57" i="5"/>
  <c r="F41" i="5"/>
  <c r="D37" i="4"/>
  <c r="F25" i="5"/>
  <c r="D21" i="4"/>
  <c r="I119" i="4"/>
  <c r="K123" i="5"/>
  <c r="K107" i="5"/>
  <c r="I103" i="4"/>
  <c r="I87" i="4"/>
  <c r="K91" i="5"/>
  <c r="K75" i="5"/>
  <c r="I71" i="4"/>
  <c r="K59" i="5"/>
  <c r="I55" i="4"/>
  <c r="K43" i="5"/>
  <c r="I39" i="4"/>
  <c r="I23" i="4"/>
  <c r="K27" i="5"/>
  <c r="G119" i="4"/>
  <c r="I123" i="5"/>
  <c r="G39" i="4"/>
  <c r="I43" i="5"/>
  <c r="G85" i="4"/>
  <c r="I89" i="5"/>
  <c r="I9" i="5"/>
  <c r="G5" i="4"/>
  <c r="I116" i="5"/>
  <c r="G112" i="4"/>
  <c r="I100" i="5"/>
  <c r="G96" i="4"/>
  <c r="I68" i="5"/>
  <c r="G64" i="4"/>
  <c r="I20" i="5"/>
  <c r="G16" i="4"/>
  <c r="G121" i="4"/>
  <c r="I125" i="5"/>
  <c r="I109" i="5"/>
  <c r="G105" i="4"/>
  <c r="G89" i="4"/>
  <c r="I93" i="5"/>
  <c r="I77" i="5"/>
  <c r="G73" i="4"/>
  <c r="I61" i="5"/>
  <c r="G57" i="4"/>
  <c r="I45" i="5"/>
  <c r="G41" i="4"/>
  <c r="G25" i="4"/>
  <c r="I29" i="5"/>
  <c r="I13" i="5"/>
  <c r="G9" i="4"/>
  <c r="D134" i="5"/>
  <c r="B130" i="4"/>
  <c r="D118" i="5"/>
  <c r="B114" i="4"/>
  <c r="B98" i="4"/>
  <c r="D102" i="5"/>
  <c r="B82" i="4"/>
  <c r="D86" i="5"/>
  <c r="B66" i="4"/>
  <c r="D70" i="5"/>
  <c r="D54" i="5"/>
  <c r="B50" i="4"/>
  <c r="D38" i="5"/>
  <c r="B34" i="4"/>
  <c r="D22" i="5"/>
  <c r="B18" i="4"/>
  <c r="E124" i="4"/>
  <c r="G128" i="5"/>
  <c r="E108" i="4"/>
  <c r="G112" i="5"/>
  <c r="G96" i="5"/>
  <c r="E92" i="4"/>
  <c r="G80" i="5"/>
  <c r="E76" i="4"/>
  <c r="E60" i="4"/>
  <c r="G64" i="5"/>
  <c r="E44" i="4"/>
  <c r="G48" i="5"/>
  <c r="G32" i="5"/>
  <c r="E28" i="4"/>
  <c r="G16" i="5"/>
  <c r="E12" i="4"/>
  <c r="G11" i="5"/>
  <c r="E7" i="4"/>
  <c r="F120" i="5"/>
  <c r="D116" i="4"/>
  <c r="F104" i="5"/>
  <c r="D100" i="4"/>
  <c r="F88" i="5"/>
  <c r="D84" i="4"/>
  <c r="D68" i="4"/>
  <c r="F72" i="5"/>
  <c r="F56" i="5"/>
  <c r="D52" i="4"/>
  <c r="F40" i="5"/>
  <c r="D36" i="4"/>
  <c r="F24" i="5"/>
  <c r="D20" i="4"/>
  <c r="F10" i="5"/>
  <c r="D6" i="4"/>
  <c r="K122" i="5"/>
  <c r="I118" i="4"/>
  <c r="K106" i="5"/>
  <c r="I102" i="4"/>
  <c r="I86" i="4"/>
  <c r="K90" i="5"/>
  <c r="I70" i="4"/>
  <c r="K74" i="5"/>
  <c r="K58" i="5"/>
  <c r="I54" i="4"/>
  <c r="K42" i="5"/>
  <c r="I38" i="4"/>
  <c r="K26" i="5"/>
  <c r="I22" i="4"/>
  <c r="I133" i="5"/>
  <c r="G129" i="4"/>
  <c r="G65" i="4"/>
  <c r="I69" i="5"/>
  <c r="G17" i="4"/>
  <c r="I21" i="5"/>
  <c r="G120" i="4"/>
  <c r="I124" i="5"/>
  <c r="I108" i="5"/>
  <c r="G104" i="4"/>
  <c r="I92" i="5"/>
  <c r="G88" i="4"/>
  <c r="I76" i="5"/>
  <c r="G72" i="4"/>
  <c r="I60" i="5"/>
  <c r="G56" i="4"/>
  <c r="I44" i="5"/>
  <c r="G40" i="4"/>
  <c r="I28" i="5"/>
  <c r="G24" i="4"/>
  <c r="I12" i="5"/>
  <c r="G8" i="4"/>
  <c r="B129" i="4"/>
  <c r="D133" i="5"/>
  <c r="B113" i="4"/>
  <c r="D117" i="5"/>
  <c r="D101" i="5"/>
  <c r="B97" i="4"/>
  <c r="B81" i="4"/>
  <c r="D85" i="5"/>
  <c r="B65" i="4"/>
  <c r="D69" i="5"/>
  <c r="D53" i="5"/>
  <c r="B49" i="4"/>
  <c r="B33" i="4"/>
  <c r="D37" i="5"/>
  <c r="D21" i="5"/>
  <c r="B17" i="4"/>
  <c r="E123" i="4"/>
  <c r="G127" i="5"/>
  <c r="G111" i="5"/>
  <c r="E107" i="4"/>
  <c r="E91" i="4"/>
  <c r="G95" i="5"/>
  <c r="G79" i="5"/>
  <c r="E75" i="4"/>
  <c r="G63" i="5"/>
  <c r="E59" i="4"/>
  <c r="G47" i="5"/>
  <c r="E43" i="4"/>
  <c r="G31" i="5"/>
  <c r="E27" i="4"/>
  <c r="E11" i="4"/>
  <c r="G15" i="5"/>
  <c r="D115" i="4"/>
  <c r="F119" i="5"/>
  <c r="F103" i="5"/>
  <c r="D99" i="4"/>
  <c r="F87" i="5"/>
  <c r="D83" i="4"/>
  <c r="F71" i="5"/>
  <c r="D67" i="4"/>
  <c r="F55" i="5"/>
  <c r="D51" i="4"/>
  <c r="D35" i="4"/>
  <c r="F39" i="5"/>
  <c r="D19" i="4"/>
  <c r="F23" i="5"/>
  <c r="K121" i="5"/>
  <c r="I117" i="4"/>
  <c r="K105" i="5"/>
  <c r="I101" i="4"/>
  <c r="K89" i="5"/>
  <c r="I85" i="4"/>
  <c r="K73" i="5"/>
  <c r="I69" i="4"/>
  <c r="K57" i="5"/>
  <c r="I53" i="4"/>
  <c r="K41" i="5"/>
  <c r="I37" i="4"/>
  <c r="I21" i="4"/>
  <c r="K25" i="5"/>
  <c r="I75" i="5"/>
  <c r="G71" i="4"/>
  <c r="I27" i="5"/>
  <c r="G23" i="4"/>
  <c r="I10" i="5"/>
  <c r="G6" i="4"/>
  <c r="B128" i="4"/>
  <c r="D132" i="5"/>
  <c r="B112" i="4"/>
  <c r="D116" i="5"/>
  <c r="B96" i="4"/>
  <c r="D100" i="5"/>
  <c r="D84" i="5"/>
  <c r="B80" i="4"/>
  <c r="D68" i="5"/>
  <c r="B64" i="4"/>
  <c r="D52" i="5"/>
  <c r="B48" i="4"/>
  <c r="D36" i="5"/>
  <c r="B32" i="4"/>
  <c r="D20" i="5"/>
  <c r="B16" i="4"/>
  <c r="B9" i="4"/>
  <c r="D13" i="5"/>
  <c r="G126" i="5"/>
  <c r="E122" i="4"/>
  <c r="G110" i="5"/>
  <c r="E106" i="4"/>
  <c r="E90" i="4"/>
  <c r="G94" i="5"/>
  <c r="E74" i="4"/>
  <c r="G78" i="5"/>
  <c r="G62" i="5"/>
  <c r="E58" i="4"/>
  <c r="E42" i="4"/>
  <c r="G46" i="5"/>
  <c r="E26" i="4"/>
  <c r="G30" i="5"/>
  <c r="E10" i="4"/>
  <c r="G14" i="5"/>
  <c r="D130" i="4"/>
  <c r="F134" i="5"/>
  <c r="F118" i="5"/>
  <c r="D114" i="4"/>
  <c r="F102" i="5"/>
  <c r="D98" i="4"/>
  <c r="D82" i="4"/>
  <c r="F86" i="5"/>
  <c r="F70" i="5"/>
  <c r="D66" i="4"/>
  <c r="F54" i="5"/>
  <c r="D50" i="4"/>
  <c r="F38" i="5"/>
  <c r="D34" i="4"/>
  <c r="F22" i="5"/>
  <c r="D18" i="4"/>
  <c r="F11" i="5"/>
  <c r="D7" i="4"/>
  <c r="K120" i="5"/>
  <c r="I116" i="4"/>
  <c r="K104" i="5"/>
  <c r="I100" i="4"/>
  <c r="K88" i="5"/>
  <c r="I84" i="4"/>
  <c r="K72" i="5"/>
  <c r="I68" i="4"/>
  <c r="K56" i="5"/>
  <c r="I52" i="4"/>
  <c r="K40" i="5"/>
  <c r="I36" i="4"/>
  <c r="K24" i="5"/>
  <c r="I20" i="4"/>
  <c r="K10" i="5"/>
  <c r="I6" i="4"/>
  <c r="G118" i="4"/>
  <c r="I122" i="5"/>
  <c r="G102" i="4"/>
  <c r="I106" i="5"/>
  <c r="G86" i="4"/>
  <c r="I90" i="5"/>
  <c r="G70" i="4"/>
  <c r="I74" i="5"/>
  <c r="G54" i="4"/>
  <c r="I58" i="5"/>
  <c r="I42" i="5"/>
  <c r="G38" i="4"/>
  <c r="I26" i="5"/>
  <c r="G22" i="4"/>
  <c r="B127" i="4"/>
  <c r="D131" i="5"/>
  <c r="B111" i="4"/>
  <c r="D115" i="5"/>
  <c r="D99" i="5"/>
  <c r="B95" i="4"/>
  <c r="B79" i="4"/>
  <c r="D83" i="5"/>
  <c r="B63" i="4"/>
  <c r="D67" i="5"/>
  <c r="B47" i="4"/>
  <c r="D51" i="5"/>
  <c r="B31" i="4"/>
  <c r="D35" i="5"/>
  <c r="D19" i="5"/>
  <c r="B15" i="4"/>
  <c r="E121" i="4"/>
  <c r="G125" i="5"/>
  <c r="G109" i="5"/>
  <c r="E105" i="4"/>
  <c r="G93" i="5"/>
  <c r="E89" i="4"/>
  <c r="G77" i="5"/>
  <c r="E73" i="4"/>
  <c r="G61" i="5"/>
  <c r="E57" i="4"/>
  <c r="E41" i="4"/>
  <c r="G45" i="5"/>
  <c r="G29" i="5"/>
  <c r="E25" i="4"/>
  <c r="G13" i="5"/>
  <c r="E9" i="4"/>
  <c r="D129" i="4"/>
  <c r="F133" i="5"/>
  <c r="D113" i="4"/>
  <c r="F117" i="5"/>
  <c r="F101" i="5"/>
  <c r="D97" i="4"/>
  <c r="D81" i="4"/>
  <c r="F85" i="5"/>
  <c r="F69" i="5"/>
  <c r="D65" i="4"/>
  <c r="F53" i="5"/>
  <c r="D49" i="4"/>
  <c r="F37" i="5"/>
  <c r="D33" i="4"/>
  <c r="D17" i="4"/>
  <c r="F21" i="5"/>
  <c r="I115" i="4"/>
  <c r="K119" i="5"/>
  <c r="K103" i="5"/>
  <c r="I99" i="4"/>
  <c r="I83" i="4"/>
  <c r="K87" i="5"/>
  <c r="I67" i="4"/>
  <c r="K71" i="5"/>
  <c r="K55" i="5"/>
  <c r="I51" i="4"/>
  <c r="K39" i="5"/>
  <c r="I35" i="4"/>
  <c r="K23" i="5"/>
  <c r="I19" i="4"/>
  <c r="K11" i="5"/>
  <c r="I7" i="4"/>
  <c r="D130" i="5"/>
  <c r="B126" i="4"/>
  <c r="D114" i="5"/>
  <c r="B110" i="4"/>
  <c r="B94" i="4"/>
  <c r="D98" i="5"/>
  <c r="B78" i="4"/>
  <c r="D82" i="5"/>
  <c r="D66" i="5"/>
  <c r="B62" i="4"/>
  <c r="B46" i="4"/>
  <c r="D50" i="5"/>
  <c r="D34" i="5"/>
  <c r="B30" i="4"/>
  <c r="B14" i="4"/>
  <c r="D18" i="5"/>
  <c r="D9" i="5"/>
  <c r="B5" i="4"/>
  <c r="E32" i="10"/>
  <c r="H30" i="10"/>
  <c r="H24" i="10"/>
  <c r="D27" i="10"/>
  <c r="H33" i="9"/>
  <c r="H35" i="9"/>
  <c r="D33" i="9"/>
  <c r="C31" i="9"/>
  <c r="E30" i="9"/>
  <c r="G32" i="9"/>
  <c r="I25" i="10"/>
  <c r="F30" i="10"/>
  <c r="C29" i="10"/>
  <c r="E31" i="9"/>
  <c r="C30" i="10"/>
  <c r="D31" i="10"/>
  <c r="D26" i="10"/>
  <c r="F28" i="10"/>
  <c r="I30" i="10"/>
  <c r="I36" i="9"/>
  <c r="I33" i="9"/>
  <c r="E36" i="9"/>
  <c r="D30" i="9"/>
  <c r="E28" i="9"/>
  <c r="F28" i="9"/>
  <c r="H34" i="9"/>
  <c r="F36" i="9"/>
  <c r="F34" i="9"/>
  <c r="C31" i="10"/>
  <c r="G29" i="9"/>
  <c r="C32" i="9"/>
  <c r="I24" i="10"/>
  <c r="H31" i="10"/>
  <c r="H35" i="10" s="1"/>
  <c r="F29" i="10"/>
  <c r="F26" i="10"/>
  <c r="I34" i="9"/>
  <c r="C30" i="9"/>
  <c r="F35" i="9"/>
  <c r="E29" i="9"/>
  <c r="I28" i="9"/>
  <c r="E26" i="10"/>
  <c r="G31" i="10"/>
  <c r="F32" i="10"/>
  <c r="I31" i="9"/>
  <c r="C27" i="10"/>
  <c r="D31" i="9"/>
  <c r="E27" i="10"/>
  <c r="D24" i="10"/>
  <c r="C28" i="10"/>
  <c r="H25" i="10"/>
  <c r="I27" i="10"/>
  <c r="G33" i="9"/>
  <c r="E32" i="9"/>
  <c r="G34" i="9"/>
  <c r="C29" i="9"/>
  <c r="H26" i="10"/>
  <c r="G28" i="9"/>
  <c r="I30" i="9"/>
  <c r="C25" i="10"/>
  <c r="H32" i="9"/>
  <c r="I29" i="10"/>
  <c r="G32" i="10"/>
  <c r="G29" i="10"/>
  <c r="H32" i="10"/>
  <c r="H36" i="9"/>
  <c r="E34" i="9"/>
  <c r="H31" i="9"/>
  <c r="E31" i="10"/>
  <c r="G24" i="10"/>
  <c r="F31" i="10"/>
  <c r="F35" i="10" s="1"/>
  <c r="F31" i="9"/>
  <c r="G28" i="10"/>
  <c r="C35" i="9"/>
  <c r="E24" i="10"/>
  <c r="D29" i="10"/>
  <c r="D28" i="10"/>
  <c r="H27" i="10"/>
  <c r="I35" i="9"/>
  <c r="G36" i="9"/>
  <c r="G31" i="9"/>
  <c r="G26" i="10"/>
  <c r="D32" i="9"/>
  <c r="G25" i="10"/>
  <c r="C33" i="9"/>
  <c r="E28" i="10"/>
  <c r="D34" i="9"/>
  <c r="E25" i="10"/>
  <c r="F29" i="9"/>
  <c r="H30" i="9"/>
  <c r="C28" i="9"/>
  <c r="F30" i="9"/>
  <c r="H29" i="10"/>
  <c r="F32" i="9"/>
  <c r="I32" i="10"/>
  <c r="I26" i="10"/>
  <c r="D32" i="10"/>
  <c r="F27" i="10"/>
  <c r="E35" i="9"/>
  <c r="E39" i="9" s="1"/>
  <c r="D35" i="9"/>
  <c r="D39" i="9" s="1"/>
  <c r="I29" i="9"/>
  <c r="G30" i="9"/>
  <c r="I28" i="10"/>
  <c r="F25" i="10"/>
  <c r="D25" i="10"/>
  <c r="C26" i="10"/>
  <c r="C34" i="9"/>
  <c r="E33" i="9"/>
  <c r="D29" i="9"/>
  <c r="H28" i="9"/>
  <c r="C24" i="10"/>
  <c r="D30" i="10"/>
  <c r="D28" i="9"/>
  <c r="H28" i="10"/>
  <c r="G30" i="10"/>
  <c r="E30" i="10"/>
  <c r="F24" i="10"/>
  <c r="D36" i="9"/>
  <c r="I32" i="9"/>
  <c r="H29" i="9"/>
  <c r="E29" i="10"/>
  <c r="G27" i="10"/>
  <c r="C32" i="10"/>
  <c r="G35" i="9"/>
  <c r="F33" i="9"/>
  <c r="C36" i="9"/>
  <c r="I31" i="10"/>
  <c r="G124" i="5"/>
  <c r="E120" i="4"/>
  <c r="G108" i="5"/>
  <c r="E104" i="4"/>
  <c r="G92" i="5"/>
  <c r="E88" i="4"/>
  <c r="G76" i="5"/>
  <c r="E72" i="4"/>
  <c r="G60" i="5"/>
  <c r="E56" i="4"/>
  <c r="E40" i="4"/>
  <c r="G44" i="5"/>
  <c r="G28" i="5"/>
  <c r="E24" i="4"/>
  <c r="G12" i="5"/>
  <c r="E8" i="4"/>
  <c r="F132" i="5"/>
  <c r="D128" i="4"/>
  <c r="F116" i="5"/>
  <c r="D112" i="4"/>
  <c r="D96" i="4"/>
  <c r="F100" i="5"/>
  <c r="D80" i="4"/>
  <c r="F84" i="5"/>
  <c r="D64" i="4"/>
  <c r="F68" i="5"/>
  <c r="D48" i="4"/>
  <c r="F52" i="5"/>
  <c r="F36" i="5"/>
  <c r="D32" i="4"/>
  <c r="F20" i="5"/>
  <c r="D16" i="4"/>
  <c r="K134" i="5"/>
  <c r="I130" i="4"/>
  <c r="I114" i="4"/>
  <c r="K118" i="5"/>
  <c r="K102" i="5"/>
  <c r="I98" i="4"/>
  <c r="K86" i="5"/>
  <c r="I82" i="4"/>
  <c r="K70" i="5"/>
  <c r="I66" i="4"/>
  <c r="I50" i="4"/>
  <c r="K54" i="5"/>
  <c r="K38" i="5"/>
  <c r="I34" i="4"/>
  <c r="I18" i="4"/>
  <c r="K22" i="5"/>
  <c r="K9" i="5"/>
  <c r="I5" i="4"/>
  <c r="H8" i="10"/>
  <c r="I8" i="10" s="1"/>
  <c r="I8" i="9"/>
  <c r="J8" i="9" s="1"/>
  <c r="G103" i="4"/>
  <c r="I107" i="5"/>
  <c r="I121" i="5"/>
  <c r="G117" i="4"/>
  <c r="I41" i="5"/>
  <c r="G37" i="4"/>
  <c r="B125" i="4"/>
  <c r="D129" i="5"/>
  <c r="B109" i="4"/>
  <c r="D113" i="5"/>
  <c r="B93" i="4"/>
  <c r="D97" i="5"/>
  <c r="B77" i="4"/>
  <c r="D81" i="5"/>
  <c r="B61" i="4"/>
  <c r="D65" i="5"/>
  <c r="D49" i="5"/>
  <c r="B45" i="4"/>
  <c r="B29" i="4"/>
  <c r="D33" i="5"/>
  <c r="D17" i="5"/>
  <c r="B13" i="4"/>
  <c r="C65" i="9"/>
  <c r="C67" i="9" s="1"/>
  <c r="G123" i="5"/>
  <c r="E119" i="4"/>
  <c r="G107" i="5"/>
  <c r="E103" i="4"/>
  <c r="G91" i="5"/>
  <c r="E87" i="4"/>
  <c r="E71" i="4"/>
  <c r="G75" i="5"/>
  <c r="G59" i="5"/>
  <c r="E55" i="4"/>
  <c r="G43" i="5"/>
  <c r="E39" i="4"/>
  <c r="E23" i="4"/>
  <c r="G27" i="5"/>
  <c r="F131" i="5"/>
  <c r="D127" i="4"/>
  <c r="D111" i="4"/>
  <c r="F115" i="5"/>
  <c r="D95" i="4"/>
  <c r="F99" i="5"/>
  <c r="F83" i="5"/>
  <c r="D79" i="4"/>
  <c r="F67" i="5"/>
  <c r="D63" i="4"/>
  <c r="F51" i="5"/>
  <c r="D47" i="4"/>
  <c r="F35" i="5"/>
  <c r="D31" i="4"/>
  <c r="F19" i="5"/>
  <c r="D15" i="4"/>
  <c r="K133" i="5"/>
  <c r="I129" i="4"/>
  <c r="K117" i="5"/>
  <c r="I113" i="4"/>
  <c r="I97" i="4"/>
  <c r="K101" i="5"/>
  <c r="I81" i="4"/>
  <c r="K85" i="5"/>
  <c r="K69" i="5"/>
  <c r="I65" i="4"/>
  <c r="K53" i="5"/>
  <c r="I49" i="4"/>
  <c r="K37" i="5"/>
  <c r="I33" i="4"/>
  <c r="I17" i="4"/>
  <c r="K21" i="5"/>
  <c r="B124" i="4"/>
  <c r="D128" i="5"/>
  <c r="D112" i="5"/>
  <c r="B108" i="4"/>
  <c r="D96" i="5"/>
  <c r="B92" i="4"/>
  <c r="D80" i="5"/>
  <c r="B76" i="4"/>
  <c r="D64" i="5"/>
  <c r="B60" i="4"/>
  <c r="D48" i="5"/>
  <c r="B44" i="4"/>
  <c r="D32" i="5"/>
  <c r="B28" i="4"/>
  <c r="D16" i="5"/>
  <c r="B12" i="4"/>
  <c r="G122" i="5"/>
  <c r="E118" i="4"/>
  <c r="G106" i="5"/>
  <c r="E102" i="4"/>
  <c r="G90" i="5"/>
  <c r="E86" i="4"/>
  <c r="E70" i="4"/>
  <c r="G74" i="5"/>
  <c r="E54" i="4"/>
  <c r="G58" i="5"/>
  <c r="G42" i="5"/>
  <c r="E38" i="4"/>
  <c r="G26" i="5"/>
  <c r="E22" i="4"/>
  <c r="F130" i="5"/>
  <c r="D126" i="4"/>
  <c r="D110" i="4"/>
  <c r="F114" i="5"/>
  <c r="D94" i="4"/>
  <c r="F98" i="5"/>
  <c r="F82" i="5"/>
  <c r="D78" i="4"/>
  <c r="F66" i="5"/>
  <c r="D62" i="4"/>
  <c r="D46" i="4"/>
  <c r="F50" i="5"/>
  <c r="D30" i="4"/>
  <c r="F34" i="5"/>
  <c r="F18" i="5"/>
  <c r="D14" i="4"/>
  <c r="K132" i="5"/>
  <c r="I128" i="4"/>
  <c r="K116" i="5"/>
  <c r="I112" i="4"/>
  <c r="I96" i="4"/>
  <c r="K100" i="5"/>
  <c r="I80" i="4"/>
  <c r="K84" i="5"/>
  <c r="K68" i="5"/>
  <c r="I64" i="4"/>
  <c r="K52" i="5"/>
  <c r="I48" i="4"/>
  <c r="K36" i="5"/>
  <c r="I32" i="4"/>
  <c r="K20" i="5"/>
  <c r="I16" i="4"/>
  <c r="G55" i="4"/>
  <c r="I59" i="5"/>
  <c r="I73" i="5"/>
  <c r="G69" i="4"/>
  <c r="G84" i="4"/>
  <c r="I88" i="5"/>
  <c r="D127" i="5"/>
  <c r="B123" i="4"/>
  <c r="B107" i="4"/>
  <c r="D111" i="5"/>
  <c r="D95" i="5"/>
  <c r="B91" i="4"/>
  <c r="B75" i="4"/>
  <c r="D79" i="5"/>
  <c r="B59" i="4"/>
  <c r="D63" i="5"/>
  <c r="B43" i="4"/>
  <c r="D47" i="5"/>
  <c r="D31" i="5"/>
  <c r="B27" i="4"/>
  <c r="B11" i="4"/>
  <c r="D15" i="5"/>
  <c r="E117" i="4"/>
  <c r="G121" i="5"/>
  <c r="E101" i="4"/>
  <c r="G105" i="5"/>
  <c r="E85" i="4"/>
  <c r="G89" i="5"/>
  <c r="G73" i="5"/>
  <c r="E69" i="4"/>
  <c r="G57" i="5"/>
  <c r="E53" i="4"/>
  <c r="E37" i="4"/>
  <c r="G41" i="5"/>
  <c r="G25" i="5"/>
  <c r="E21" i="4"/>
  <c r="G9" i="5"/>
  <c r="E5" i="4"/>
  <c r="D125" i="4"/>
  <c r="F129" i="5"/>
  <c r="F113" i="5"/>
  <c r="D109" i="4"/>
  <c r="F97" i="5"/>
  <c r="D93" i="4"/>
  <c r="D77" i="4"/>
  <c r="F81" i="5"/>
  <c r="F65" i="5"/>
  <c r="D61" i="4"/>
  <c r="D45" i="4"/>
  <c r="F49" i="5"/>
  <c r="D29" i="4"/>
  <c r="F33" i="5"/>
  <c r="D13" i="4"/>
  <c r="F17" i="5"/>
  <c r="K131" i="5"/>
  <c r="I127" i="4"/>
  <c r="I111" i="4"/>
  <c r="K115" i="5"/>
  <c r="I95" i="4"/>
  <c r="K99" i="5"/>
  <c r="K83" i="5"/>
  <c r="I79" i="4"/>
  <c r="K67" i="5"/>
  <c r="I63" i="4"/>
  <c r="K51" i="5"/>
  <c r="I47" i="4"/>
  <c r="K35" i="5"/>
  <c r="I31" i="4"/>
  <c r="K19" i="5"/>
  <c r="I15" i="4"/>
  <c r="I70" i="5"/>
  <c r="G66" i="4"/>
  <c r="G113" i="4"/>
  <c r="I117" i="5"/>
  <c r="G33" i="4"/>
  <c r="I37" i="5"/>
  <c r="E7" i="16"/>
  <c r="D126" i="5"/>
  <c r="B122" i="4"/>
  <c r="D110" i="5"/>
  <c r="B106" i="4"/>
  <c r="B90" i="4"/>
  <c r="D94" i="5"/>
  <c r="D78" i="5"/>
  <c r="B74" i="4"/>
  <c r="D62" i="5"/>
  <c r="B58" i="4"/>
  <c r="B42" i="4"/>
  <c r="D46" i="5"/>
  <c r="D30" i="5"/>
  <c r="B26" i="4"/>
  <c r="D14" i="5"/>
  <c r="B10" i="4"/>
  <c r="D10" i="5"/>
  <c r="B6" i="4"/>
  <c r="E116" i="4"/>
  <c r="G120" i="5"/>
  <c r="E100" i="4"/>
  <c r="G104" i="5"/>
  <c r="G88" i="5"/>
  <c r="E84" i="4"/>
  <c r="E68" i="4"/>
  <c r="G72" i="5"/>
  <c r="G56" i="5"/>
  <c r="E52" i="4"/>
  <c r="G40" i="5"/>
  <c r="E36" i="4"/>
  <c r="E20" i="4"/>
  <c r="G24" i="5"/>
  <c r="F128" i="5"/>
  <c r="D124" i="4"/>
  <c r="F112" i="5"/>
  <c r="D108" i="4"/>
  <c r="D92" i="4"/>
  <c r="F96" i="5"/>
  <c r="F80" i="5"/>
  <c r="D76" i="4"/>
  <c r="D60" i="4"/>
  <c r="F64" i="5"/>
  <c r="F48" i="5"/>
  <c r="D44" i="4"/>
  <c r="D28" i="4"/>
  <c r="F32" i="5"/>
  <c r="F16" i="5"/>
  <c r="D12" i="4"/>
  <c r="I126" i="4"/>
  <c r="K130" i="5"/>
  <c r="K114" i="5"/>
  <c r="I110" i="4"/>
  <c r="K98" i="5"/>
  <c r="I94" i="4"/>
  <c r="K82" i="5"/>
  <c r="I78" i="4"/>
  <c r="K66" i="5"/>
  <c r="I62" i="4"/>
  <c r="K50" i="5"/>
  <c r="I46" i="4"/>
  <c r="K34" i="5"/>
  <c r="I30" i="4"/>
  <c r="K18" i="5"/>
  <c r="I14" i="4"/>
  <c r="F46" i="10"/>
  <c r="I87" i="5"/>
  <c r="G83" i="4"/>
  <c r="I55" i="5"/>
  <c r="G51" i="4"/>
  <c r="I54" i="5"/>
  <c r="G50" i="4"/>
  <c r="I85" i="5"/>
  <c r="G81" i="4"/>
  <c r="D125" i="5"/>
  <c r="B121" i="4"/>
  <c r="B105" i="4"/>
  <c r="D109" i="5"/>
  <c r="D93" i="5"/>
  <c r="B89" i="4"/>
  <c r="D77" i="5"/>
  <c r="B73" i="4"/>
  <c r="D61" i="5"/>
  <c r="B57" i="4"/>
  <c r="B41" i="4"/>
  <c r="D45" i="5"/>
  <c r="B25" i="4"/>
  <c r="D29" i="5"/>
  <c r="D11" i="5"/>
  <c r="B7" i="4"/>
  <c r="K9" i="16"/>
  <c r="L8" i="16"/>
  <c r="L9" i="16" s="1"/>
  <c r="G119" i="5"/>
  <c r="E115" i="4"/>
  <c r="G103" i="5"/>
  <c r="E99" i="4"/>
  <c r="E83" i="4"/>
  <c r="G87" i="5"/>
  <c r="G71" i="5"/>
  <c r="E67" i="4"/>
  <c r="G55" i="5"/>
  <c r="E51" i="4"/>
  <c r="G39" i="5"/>
  <c r="E35" i="4"/>
  <c r="G23" i="5"/>
  <c r="E19" i="4"/>
  <c r="D123" i="4"/>
  <c r="F127" i="5"/>
  <c r="F111" i="5"/>
  <c r="D107" i="4"/>
  <c r="F95" i="5"/>
  <c r="D91" i="4"/>
  <c r="F79" i="5"/>
  <c r="D75" i="4"/>
  <c r="D59" i="4"/>
  <c r="F63" i="5"/>
  <c r="F47" i="5"/>
  <c r="D43" i="4"/>
  <c r="D27" i="4"/>
  <c r="F31" i="5"/>
  <c r="F15" i="5"/>
  <c r="D11" i="4"/>
  <c r="I125" i="4"/>
  <c r="K129" i="5"/>
  <c r="I109" i="4"/>
  <c r="K113" i="5"/>
  <c r="I93" i="4"/>
  <c r="K97" i="5"/>
  <c r="I77" i="4"/>
  <c r="K81" i="5"/>
  <c r="I61" i="4"/>
  <c r="K65" i="5"/>
  <c r="K49" i="5"/>
  <c r="I45" i="4"/>
  <c r="K33" i="5"/>
  <c r="I29" i="4"/>
  <c r="I13" i="4"/>
  <c r="K17" i="5"/>
  <c r="F46" i="9"/>
  <c r="F42" i="10"/>
  <c r="I72" i="5"/>
  <c r="G68" i="4"/>
  <c r="I24" i="5"/>
  <c r="G20" i="4"/>
  <c r="I119" i="5"/>
  <c r="G115" i="4"/>
  <c r="C46" i="10"/>
  <c r="C51" i="9"/>
  <c r="J4" i="9"/>
  <c r="J18" i="9"/>
  <c r="J7" i="9"/>
  <c r="B120" i="4"/>
  <c r="D124" i="5"/>
  <c r="D108" i="5"/>
  <c r="B104" i="4"/>
  <c r="B88" i="4"/>
  <c r="D92" i="5"/>
  <c r="D76" i="5"/>
  <c r="B72" i="4"/>
  <c r="D60" i="5"/>
  <c r="B56" i="4"/>
  <c r="B40" i="4"/>
  <c r="D44" i="5"/>
  <c r="B24" i="4"/>
  <c r="D28" i="5"/>
  <c r="D142" i="5"/>
  <c r="D12" i="5"/>
  <c r="B8" i="4"/>
  <c r="J56" i="10"/>
  <c r="G134" i="5"/>
  <c r="E130" i="4"/>
  <c r="G118" i="5"/>
  <c r="E114" i="4"/>
  <c r="G102" i="5"/>
  <c r="E98" i="4"/>
  <c r="G86" i="5"/>
  <c r="E82" i="4"/>
  <c r="G70" i="5"/>
  <c r="E66" i="4"/>
  <c r="E50" i="4"/>
  <c r="G54" i="5"/>
  <c r="G38" i="5"/>
  <c r="E34" i="4"/>
  <c r="G22" i="5"/>
  <c r="E18" i="4"/>
  <c r="G10" i="5"/>
  <c r="E6" i="4"/>
  <c r="F126" i="5"/>
  <c r="D122" i="4"/>
  <c r="F110" i="5"/>
  <c r="D106" i="4"/>
  <c r="F94" i="5"/>
  <c r="D90" i="4"/>
  <c r="F78" i="5"/>
  <c r="D74" i="4"/>
  <c r="D58" i="4"/>
  <c r="F62" i="5"/>
  <c r="F46" i="5"/>
  <c r="D42" i="4"/>
  <c r="D26" i="4"/>
  <c r="F30" i="5"/>
  <c r="F14" i="5"/>
  <c r="D10" i="4"/>
  <c r="K128" i="5"/>
  <c r="I124" i="4"/>
  <c r="K112" i="5"/>
  <c r="I108" i="4"/>
  <c r="I92" i="4"/>
  <c r="K96" i="5"/>
  <c r="K80" i="5"/>
  <c r="I76" i="4"/>
  <c r="I60" i="4"/>
  <c r="K64" i="5"/>
  <c r="K48" i="5"/>
  <c r="I44" i="4"/>
  <c r="I28" i="4"/>
  <c r="K32" i="5"/>
  <c r="K16" i="5"/>
  <c r="I12" i="4"/>
  <c r="G53" i="4"/>
  <c r="I57" i="5"/>
  <c r="G100" i="4"/>
  <c r="I104" i="5"/>
  <c r="I40" i="5"/>
  <c r="G36" i="4"/>
  <c r="C50" i="9"/>
  <c r="C45" i="10"/>
  <c r="D123" i="5"/>
  <c r="B119" i="4"/>
  <c r="D107" i="5"/>
  <c r="B103" i="4"/>
  <c r="D91" i="5"/>
  <c r="B87" i="4"/>
  <c r="B71" i="4"/>
  <c r="D75" i="5"/>
  <c r="D59" i="5"/>
  <c r="B55" i="4"/>
  <c r="B39" i="4"/>
  <c r="D43" i="5"/>
  <c r="B23" i="4"/>
  <c r="D27" i="5"/>
  <c r="J67" i="9"/>
  <c r="G133" i="5"/>
  <c r="E129" i="4"/>
  <c r="G117" i="5"/>
  <c r="E113" i="4"/>
  <c r="E97" i="4"/>
  <c r="G101" i="5"/>
  <c r="E81" i="4"/>
  <c r="G85" i="5"/>
  <c r="G69" i="5"/>
  <c r="E65" i="4"/>
  <c r="G53" i="5"/>
  <c r="E49" i="4"/>
  <c r="G37" i="5"/>
  <c r="E33" i="4"/>
  <c r="E17" i="4"/>
  <c r="G21" i="5"/>
  <c r="D121" i="4"/>
  <c r="F125" i="5"/>
  <c r="F109" i="5"/>
  <c r="D105" i="4"/>
  <c r="F93" i="5"/>
  <c r="D89" i="4"/>
  <c r="F77" i="5"/>
  <c r="D73" i="4"/>
  <c r="F61" i="5"/>
  <c r="D57" i="4"/>
  <c r="D41" i="4"/>
  <c r="F45" i="5"/>
  <c r="D25" i="4"/>
  <c r="F29" i="5"/>
  <c r="E65" i="9"/>
  <c r="E67" i="9" s="1"/>
  <c r="I123" i="4"/>
  <c r="K127" i="5"/>
  <c r="K111" i="5"/>
  <c r="I107" i="4"/>
  <c r="I91" i="4"/>
  <c r="K95" i="5"/>
  <c r="K79" i="5"/>
  <c r="I75" i="4"/>
  <c r="I59" i="4"/>
  <c r="K63" i="5"/>
  <c r="K47" i="5"/>
  <c r="I43" i="4"/>
  <c r="K31" i="5"/>
  <c r="I27" i="4"/>
  <c r="K15" i="5"/>
  <c r="I11" i="4"/>
  <c r="I118" i="5"/>
  <c r="G114" i="4"/>
  <c r="I38" i="5"/>
  <c r="G34" i="4"/>
  <c r="G97" i="4"/>
  <c r="I101" i="5"/>
  <c r="I53" i="5"/>
  <c r="G49" i="4"/>
  <c r="I11" i="5"/>
  <c r="G7" i="4"/>
  <c r="I132" i="5"/>
  <c r="G128" i="4"/>
  <c r="G80" i="4"/>
  <c r="I84" i="5"/>
  <c r="I52" i="5"/>
  <c r="G48" i="4"/>
  <c r="G32" i="4"/>
  <c r="I36" i="5"/>
  <c r="I131" i="5"/>
  <c r="G127" i="4"/>
  <c r="G111" i="4"/>
  <c r="I115" i="5"/>
  <c r="G95" i="4"/>
  <c r="I99" i="5"/>
  <c r="I83" i="5"/>
  <c r="G79" i="4"/>
  <c r="I67" i="5"/>
  <c r="G63" i="4"/>
  <c r="G47" i="4"/>
  <c r="I51" i="5"/>
  <c r="I35" i="5"/>
  <c r="G31" i="4"/>
  <c r="G15" i="4"/>
  <c r="I19" i="5"/>
  <c r="I130" i="5"/>
  <c r="G126" i="4"/>
  <c r="I98" i="5"/>
  <c r="G94" i="4"/>
  <c r="I82" i="5"/>
  <c r="G78" i="4"/>
  <c r="G62" i="4"/>
  <c r="I66" i="5"/>
  <c r="I50" i="5"/>
  <c r="G46" i="4"/>
  <c r="G30" i="4"/>
  <c r="I34" i="5"/>
  <c r="G14" i="4"/>
  <c r="I18" i="5"/>
  <c r="O7" i="5"/>
  <c r="I129" i="5"/>
  <c r="G125" i="4"/>
  <c r="G109" i="4"/>
  <c r="I113" i="5"/>
  <c r="I97" i="5"/>
  <c r="G93" i="4"/>
  <c r="I81" i="5"/>
  <c r="G77" i="4"/>
  <c r="G61" i="4"/>
  <c r="I65" i="5"/>
  <c r="G45" i="4"/>
  <c r="I49" i="5"/>
  <c r="I33" i="5"/>
  <c r="G29" i="4"/>
  <c r="I17" i="5"/>
  <c r="G13" i="4"/>
  <c r="H54" i="10"/>
  <c r="H56" i="10" s="1"/>
  <c r="O12" i="5"/>
  <c r="O10" i="5"/>
  <c r="B118" i="4"/>
  <c r="D122" i="5"/>
  <c r="B102" i="4"/>
  <c r="D106" i="5"/>
  <c r="D90" i="5"/>
  <c r="B86" i="4"/>
  <c r="B70" i="4"/>
  <c r="D74" i="5"/>
  <c r="B54" i="4"/>
  <c r="D58" i="5"/>
  <c r="B38" i="4"/>
  <c r="D42" i="5"/>
  <c r="B22" i="4"/>
  <c r="D26" i="5"/>
  <c r="D56" i="10"/>
  <c r="E128" i="4"/>
  <c r="G132" i="5"/>
  <c r="E112" i="4"/>
  <c r="G116" i="5"/>
  <c r="G100" i="5"/>
  <c r="E96" i="4"/>
  <c r="E80" i="4"/>
  <c r="G84" i="5"/>
  <c r="E64" i="4"/>
  <c r="G68" i="5"/>
  <c r="G52" i="5"/>
  <c r="E48" i="4"/>
  <c r="G36" i="5"/>
  <c r="E32" i="4"/>
  <c r="E16" i="4"/>
  <c r="G20" i="5"/>
  <c r="F124" i="5"/>
  <c r="D120" i="4"/>
  <c r="F108" i="5"/>
  <c r="D104" i="4"/>
  <c r="F92" i="5"/>
  <c r="D88" i="4"/>
  <c r="F76" i="5"/>
  <c r="D72" i="4"/>
  <c r="F60" i="5"/>
  <c r="D56" i="4"/>
  <c r="F44" i="5"/>
  <c r="D40" i="4"/>
  <c r="D24" i="4"/>
  <c r="F28" i="5"/>
  <c r="D9" i="4"/>
  <c r="F13" i="5"/>
  <c r="I122" i="4"/>
  <c r="K126" i="5"/>
  <c r="K110" i="5"/>
  <c r="I106" i="4"/>
  <c r="K94" i="5"/>
  <c r="I90" i="4"/>
  <c r="I74" i="4"/>
  <c r="K78" i="5"/>
  <c r="K62" i="5"/>
  <c r="I58" i="4"/>
  <c r="K46" i="5"/>
  <c r="I42" i="4"/>
  <c r="I26" i="4"/>
  <c r="K30" i="5"/>
  <c r="K14" i="5"/>
  <c r="I10" i="4"/>
  <c r="F43" i="10" l="1"/>
  <c r="F51" i="9"/>
  <c r="F56" i="9" s="1"/>
  <c r="I35" i="10"/>
  <c r="I36" i="10" s="1"/>
  <c r="F45" i="10"/>
  <c r="F50" i="9"/>
  <c r="B46" i="9"/>
  <c r="C41" i="10"/>
  <c r="D45" i="10"/>
  <c r="I39" i="9"/>
  <c r="I40" i="9" s="1"/>
  <c r="H36" i="10"/>
  <c r="C42" i="10"/>
  <c r="C46" i="9"/>
  <c r="C48" i="9" s="1"/>
  <c r="B41" i="10"/>
  <c r="F9" i="10"/>
  <c r="J51" i="9"/>
  <c r="J46" i="10"/>
  <c r="E40" i="9"/>
  <c r="G39" i="9"/>
  <c r="G40" i="9" s="1"/>
  <c r="J50" i="9"/>
  <c r="J55" i="9" s="1"/>
  <c r="F33" i="10"/>
  <c r="F34" i="10" s="1"/>
  <c r="G46" i="9"/>
  <c r="C55" i="9"/>
  <c r="F47" i="10"/>
  <c r="I45" i="9"/>
  <c r="G9" i="9"/>
  <c r="I45" i="10"/>
  <c r="J45" i="10"/>
  <c r="F39" i="9"/>
  <c r="F40" i="9" s="1"/>
  <c r="G45" i="9"/>
  <c r="G41" i="10"/>
  <c r="E46" i="9"/>
  <c r="E42" i="10"/>
  <c r="O9" i="5"/>
  <c r="J22" i="17"/>
  <c r="K14" i="17"/>
  <c r="L16" i="17"/>
  <c r="K16" i="17"/>
  <c r="H25" i="17"/>
  <c r="C19" i="17"/>
  <c r="K13" i="17"/>
  <c r="B23" i="17"/>
  <c r="J24" i="17"/>
  <c r="K10" i="17"/>
  <c r="G12" i="17"/>
  <c r="G21" i="17"/>
  <c r="L24" i="17"/>
  <c r="L27" i="17"/>
  <c r="I9" i="17"/>
  <c r="C23" i="16"/>
  <c r="B19" i="17"/>
  <c r="B13" i="17"/>
  <c r="L14" i="17"/>
  <c r="E14" i="17"/>
  <c r="K22" i="17"/>
  <c r="E16" i="17"/>
  <c r="K26" i="17"/>
  <c r="L13" i="17"/>
  <c r="J21" i="17"/>
  <c r="C9" i="17"/>
  <c r="K9" i="17"/>
  <c r="H18" i="17"/>
  <c r="F21" i="17"/>
  <c r="D23" i="17"/>
  <c r="G20" i="17"/>
  <c r="J12" i="17"/>
  <c r="E23" i="17"/>
  <c r="D8" i="17"/>
  <c r="H12" i="17"/>
  <c r="D27" i="17"/>
  <c r="C21" i="16"/>
  <c r="E11" i="17"/>
  <c r="G10" i="17"/>
  <c r="E10" i="17"/>
  <c r="J10" i="17"/>
  <c r="D19" i="17"/>
  <c r="E15" i="17"/>
  <c r="C23" i="17"/>
  <c r="G8" i="17"/>
  <c r="B18" i="17"/>
  <c r="I25" i="17"/>
  <c r="F12" i="17"/>
  <c r="G14" i="17"/>
  <c r="F16" i="17"/>
  <c r="E20" i="17"/>
  <c r="L18" i="17"/>
  <c r="K27" i="17"/>
  <c r="F10" i="17"/>
  <c r="H24" i="17"/>
  <c r="K18" i="17"/>
  <c r="I24" i="17"/>
  <c r="G26" i="17"/>
  <c r="C22" i="16"/>
  <c r="H13" i="17"/>
  <c r="J27" i="17"/>
  <c r="I12" i="17"/>
  <c r="G25" i="17"/>
  <c r="K15" i="17"/>
  <c r="D11" i="17"/>
  <c r="B20" i="17"/>
  <c r="H11" i="17"/>
  <c r="J16" i="17"/>
  <c r="F22" i="17"/>
  <c r="F27" i="17"/>
  <c r="B12" i="17"/>
  <c r="E13" i="17"/>
  <c r="D18" i="17"/>
  <c r="C20" i="17"/>
  <c r="I8" i="17"/>
  <c r="J13" i="17"/>
  <c r="H19" i="17"/>
  <c r="E25" i="17"/>
  <c r="F18" i="17"/>
  <c r="K17" i="17"/>
  <c r="C27" i="16"/>
  <c r="G27" i="17"/>
  <c r="C24" i="17"/>
  <c r="I10" i="17"/>
  <c r="D22" i="17"/>
  <c r="K11" i="17"/>
  <c r="E8" i="17"/>
  <c r="J18" i="17"/>
  <c r="I27" i="17"/>
  <c r="D13" i="17"/>
  <c r="F19" i="17"/>
  <c r="J23" i="17"/>
  <c r="K25" i="17"/>
  <c r="K8" i="17"/>
  <c r="G9" i="17"/>
  <c r="F25" i="17"/>
  <c r="F14" i="17"/>
  <c r="B17" i="17"/>
  <c r="E21" i="17"/>
  <c r="C15" i="17"/>
  <c r="L8" i="17"/>
  <c r="G24" i="17"/>
  <c r="C19" i="16"/>
  <c r="D19" i="16" s="1"/>
  <c r="F24" i="17"/>
  <c r="C21" i="17"/>
  <c r="J25" i="17"/>
  <c r="L17" i="17"/>
  <c r="K12" i="17"/>
  <c r="F26" i="17"/>
  <c r="I16" i="17"/>
  <c r="B24" i="17"/>
  <c r="F9" i="17"/>
  <c r="C17" i="17"/>
  <c r="H16" i="17"/>
  <c r="L22" i="17"/>
  <c r="H26" i="17"/>
  <c r="E24" i="17"/>
  <c r="C24" i="16"/>
  <c r="D24" i="16" s="1"/>
  <c r="E24" i="16" s="1"/>
  <c r="F24" i="16" s="1"/>
  <c r="G24" i="16" s="1"/>
  <c r="H24" i="16" s="1"/>
  <c r="I24" i="16" s="1"/>
  <c r="J24" i="16" s="1"/>
  <c r="K24" i="16" s="1"/>
  <c r="L24" i="16" s="1"/>
  <c r="M24" i="16" s="1"/>
  <c r="L23" i="17"/>
  <c r="L11" i="17"/>
  <c r="H14" i="17"/>
  <c r="D20" i="17"/>
  <c r="B11" i="17"/>
  <c r="H27" i="17"/>
  <c r="C26" i="16"/>
  <c r="D26" i="16" s="1"/>
  <c r="F20" i="17"/>
  <c r="L9" i="17"/>
  <c r="L21" i="17"/>
  <c r="F15" i="17"/>
  <c r="C26" i="17"/>
  <c r="B22" i="17"/>
  <c r="C11" i="17"/>
  <c r="E18" i="17"/>
  <c r="L26" i="17"/>
  <c r="B26" i="17"/>
  <c r="F13" i="17"/>
  <c r="L19" i="17"/>
  <c r="K23" i="17"/>
  <c r="D21" i="17"/>
  <c r="B10" i="17"/>
  <c r="J17" i="17"/>
  <c r="D17" i="17"/>
  <c r="C8" i="17"/>
  <c r="K24" i="17"/>
  <c r="G15" i="17"/>
  <c r="H21" i="17"/>
  <c r="L15" i="17"/>
  <c r="C20" i="16"/>
  <c r="D20" i="16" s="1"/>
  <c r="I18" i="17"/>
  <c r="J26" i="17"/>
  <c r="J19" i="17"/>
  <c r="C13" i="17"/>
  <c r="F23" i="17"/>
  <c r="B15" i="17"/>
  <c r="F8" i="17"/>
  <c r="J14" i="17"/>
  <c r="H22" i="17"/>
  <c r="G23" i="17"/>
  <c r="H8" i="17"/>
  <c r="C10" i="17"/>
  <c r="J20" i="17"/>
  <c r="K19" i="17"/>
  <c r="D16" i="17"/>
  <c r="E17" i="17"/>
  <c r="K20" i="17"/>
  <c r="B25" i="17"/>
  <c r="J8" i="17"/>
  <c r="D26" i="17"/>
  <c r="H15" i="17"/>
  <c r="D9" i="17"/>
  <c r="E19" i="17"/>
  <c r="C18" i="17"/>
  <c r="F17" i="17"/>
  <c r="B14" i="17"/>
  <c r="I20" i="17"/>
  <c r="J11" i="17"/>
  <c r="L12" i="17"/>
  <c r="B16" i="17"/>
  <c r="H9" i="17"/>
  <c r="E22" i="17"/>
  <c r="D25" i="17"/>
  <c r="I15" i="17"/>
  <c r="G18" i="17"/>
  <c r="G22" i="17"/>
  <c r="J9" i="17"/>
  <c r="C16" i="17"/>
  <c r="H10" i="17"/>
  <c r="G11" i="17"/>
  <c r="C12" i="17"/>
  <c r="I17" i="17"/>
  <c r="D10" i="17"/>
  <c r="J15" i="17"/>
  <c r="F11" i="17"/>
  <c r="C22" i="17"/>
  <c r="D15" i="17"/>
  <c r="D12" i="17"/>
  <c r="G17" i="17"/>
  <c r="K21" i="17"/>
  <c r="D24" i="17"/>
  <c r="E27" i="17"/>
  <c r="I11" i="17"/>
  <c r="G13" i="17"/>
  <c r="E9" i="17"/>
  <c r="C27" i="17"/>
  <c r="C14" i="17"/>
  <c r="L25" i="17"/>
  <c r="G19" i="17"/>
  <c r="I22" i="17"/>
  <c r="D14" i="17"/>
  <c r="G16" i="17"/>
  <c r="H17" i="17"/>
  <c r="E26" i="17"/>
  <c r="I14" i="17"/>
  <c r="E12" i="17"/>
  <c r="I26" i="17"/>
  <c r="B8" i="17"/>
  <c r="H23" i="17"/>
  <c r="B21" i="17"/>
  <c r="I19" i="17"/>
  <c r="L10" i="17"/>
  <c r="I23" i="17"/>
  <c r="H20" i="17"/>
  <c r="B27" i="17"/>
  <c r="C25" i="17"/>
  <c r="I21" i="17"/>
  <c r="L20" i="17"/>
  <c r="I13" i="17"/>
  <c r="B9" i="17"/>
  <c r="E8" i="16"/>
  <c r="E9" i="16" s="1"/>
  <c r="P12" i="5"/>
  <c r="P7" i="5"/>
  <c r="C53" i="9"/>
  <c r="O13" i="5"/>
  <c r="H37" i="9"/>
  <c r="H38" i="9" s="1"/>
  <c r="G35" i="10"/>
  <c r="G36" i="10" s="1"/>
  <c r="I33" i="10"/>
  <c r="I34" i="10" s="1"/>
  <c r="O6" i="5"/>
  <c r="H46" i="9"/>
  <c r="H42" i="10"/>
  <c r="H9" i="10"/>
  <c r="I51" i="9"/>
  <c r="I46" i="10"/>
  <c r="P10" i="5"/>
  <c r="L45" i="16"/>
  <c r="O11" i="5"/>
  <c r="I37" i="9"/>
  <c r="I38" i="9" s="1"/>
  <c r="E35" i="10"/>
  <c r="E36" i="10" s="1"/>
  <c r="G37" i="9"/>
  <c r="G38" i="9" s="1"/>
  <c r="H45" i="9"/>
  <c r="H55" i="9" s="1"/>
  <c r="H41" i="10"/>
  <c r="D41" i="10"/>
  <c r="D45" i="9"/>
  <c r="I9" i="9"/>
  <c r="D40" i="9"/>
  <c r="C35" i="10"/>
  <c r="C36" i="10" s="1"/>
  <c r="D35" i="10"/>
  <c r="D36" i="10" s="1"/>
  <c r="J7" i="10"/>
  <c r="I9" i="10"/>
  <c r="C47" i="10"/>
  <c r="D37" i="9"/>
  <c r="D38" i="9" s="1"/>
  <c r="C33" i="10"/>
  <c r="C34" i="10" s="1"/>
  <c r="E37" i="9"/>
  <c r="E38" i="9" s="1"/>
  <c r="G33" i="10"/>
  <c r="G34" i="10" s="1"/>
  <c r="H39" i="9"/>
  <c r="H40" i="9" s="1"/>
  <c r="O8" i="5"/>
  <c r="D33" i="10"/>
  <c r="D34" i="10" s="1"/>
  <c r="F37" i="9"/>
  <c r="F38" i="9" s="1"/>
  <c r="E33" i="10"/>
  <c r="E34" i="10" s="1"/>
  <c r="H51" i="9"/>
  <c r="H46" i="10"/>
  <c r="H47" i="10" s="1"/>
  <c r="C39" i="9"/>
  <c r="C40" i="9" s="1"/>
  <c r="C37" i="9"/>
  <c r="C38" i="9" s="1"/>
  <c r="F55" i="9"/>
  <c r="P14" i="5"/>
  <c r="J42" i="10"/>
  <c r="J43" i="10" s="1"/>
  <c r="F44" i="10" s="1"/>
  <c r="C9" i="10"/>
  <c r="J46" i="9"/>
  <c r="C9" i="9"/>
  <c r="L9" i="9" s="1"/>
  <c r="B50" i="9"/>
  <c r="B45" i="10"/>
  <c r="F48" i="9"/>
  <c r="F7" i="16"/>
  <c r="H7" i="16"/>
  <c r="N7" i="16"/>
  <c r="K17" i="16"/>
  <c r="K29" i="16" s="1"/>
  <c r="K31" i="16" s="1"/>
  <c r="G17" i="16"/>
  <c r="G29" i="16" s="1"/>
  <c r="E17" i="16"/>
  <c r="E29" i="16" s="1"/>
  <c r="J17" i="16"/>
  <c r="J29" i="16" s="1"/>
  <c r="J31" i="16" s="1"/>
  <c r="F17" i="16"/>
  <c r="F29" i="16" s="1"/>
  <c r="D17" i="16"/>
  <c r="D29" i="16" s="1"/>
  <c r="C17" i="16"/>
  <c r="C29" i="16" s="1"/>
  <c r="H17" i="16"/>
  <c r="H29" i="16" s="1"/>
  <c r="I17" i="16"/>
  <c r="I29" i="16" s="1"/>
  <c r="I31" i="16" s="1"/>
  <c r="L17" i="16"/>
  <c r="L29" i="16" s="1"/>
  <c r="F36" i="10"/>
  <c r="J9" i="9"/>
  <c r="B13" i="9" s="1"/>
  <c r="E13" i="9"/>
  <c r="F53" i="9"/>
  <c r="H33" i="10"/>
  <c r="H34" i="10" s="1"/>
  <c r="B42" i="10" l="1"/>
  <c r="B43" i="10" s="1"/>
  <c r="B44" i="10" s="1"/>
  <c r="J53" i="9"/>
  <c r="C54" i="9" s="1"/>
  <c r="D50" i="9"/>
  <c r="C43" i="10"/>
  <c r="B45" i="9"/>
  <c r="B48" i="9" s="1"/>
  <c r="G9" i="10"/>
  <c r="G51" i="9"/>
  <c r="G56" i="9" s="1"/>
  <c r="G46" i="10"/>
  <c r="I41" i="10"/>
  <c r="B46" i="10"/>
  <c r="B47" i="10" s="1"/>
  <c r="D42" i="10"/>
  <c r="D43" i="10" s="1"/>
  <c r="D44" i="10" s="1"/>
  <c r="B51" i="9"/>
  <c r="B56" i="9" s="1"/>
  <c r="D46" i="9"/>
  <c r="D48" i="9" s="1"/>
  <c r="J47" i="10"/>
  <c r="F48" i="10" s="1"/>
  <c r="C56" i="9"/>
  <c r="C58" i="9" s="1"/>
  <c r="D46" i="10"/>
  <c r="D47" i="10" s="1"/>
  <c r="D51" i="9"/>
  <c r="E19" i="16"/>
  <c r="F19" i="16" s="1"/>
  <c r="G19" i="16" s="1"/>
  <c r="I50" i="9"/>
  <c r="I55" i="9" s="1"/>
  <c r="I42" i="10"/>
  <c r="G42" i="10"/>
  <c r="G43" i="10" s="1"/>
  <c r="G44" i="10" s="1"/>
  <c r="D55" i="9"/>
  <c r="I46" i="9"/>
  <c r="H13" i="9"/>
  <c r="C44" i="10"/>
  <c r="I47" i="10"/>
  <c r="Q12" i="5"/>
  <c r="E50" i="9"/>
  <c r="E45" i="10"/>
  <c r="C28" i="16"/>
  <c r="C41" i="16" s="1"/>
  <c r="P9" i="5"/>
  <c r="Q9" i="5"/>
  <c r="F58" i="9"/>
  <c r="D22" i="16"/>
  <c r="J56" i="9"/>
  <c r="J48" i="9"/>
  <c r="C49" i="9" s="1"/>
  <c r="H9" i="9"/>
  <c r="J40" i="9"/>
  <c r="I7" i="16"/>
  <c r="G45" i="10"/>
  <c r="G50" i="9"/>
  <c r="A3" i="16"/>
  <c r="O7" i="16"/>
  <c r="H53" i="9"/>
  <c r="P11" i="5"/>
  <c r="Q11" i="5"/>
  <c r="F8" i="16"/>
  <c r="O8" i="16" s="1"/>
  <c r="N8" i="16"/>
  <c r="N9" i="16" s="1"/>
  <c r="H8" i="16"/>
  <c r="I8" i="16" s="1"/>
  <c r="E26" i="16"/>
  <c r="P8" i="5"/>
  <c r="Q8" i="5"/>
  <c r="Q7" i="5"/>
  <c r="C25" i="16"/>
  <c r="C31" i="16" s="1"/>
  <c r="C37" i="16"/>
  <c r="D13" i="16"/>
  <c r="D14" i="16" s="1"/>
  <c r="D12" i="16"/>
  <c r="E20" i="16"/>
  <c r="D39" i="16"/>
  <c r="P24" i="16"/>
  <c r="E51" i="9"/>
  <c r="E46" i="10"/>
  <c r="D21" i="16"/>
  <c r="C35" i="16"/>
  <c r="C39" i="16"/>
  <c r="P6" i="5"/>
  <c r="Q6" i="5"/>
  <c r="P13" i="5"/>
  <c r="Q13" i="5"/>
  <c r="H12" i="16"/>
  <c r="H13" i="16"/>
  <c r="H43" i="10"/>
  <c r="H44" i="10" s="1"/>
  <c r="C46" i="16"/>
  <c r="C47" i="16" s="1"/>
  <c r="M29" i="16"/>
  <c r="Q14" i="5"/>
  <c r="G48" i="9"/>
  <c r="Q10" i="5"/>
  <c r="H48" i="9"/>
  <c r="H56" i="9"/>
  <c r="D27" i="16"/>
  <c r="E41" i="10"/>
  <c r="E43" i="10" s="1"/>
  <c r="E44" i="10" s="1"/>
  <c r="E45" i="9"/>
  <c r="D23" i="16"/>
  <c r="L31" i="16"/>
  <c r="L30" i="16"/>
  <c r="D9" i="9"/>
  <c r="D9" i="10"/>
  <c r="L9" i="10" s="1"/>
  <c r="J38" i="9"/>
  <c r="B55" i="9" l="1"/>
  <c r="F54" i="9"/>
  <c r="H54" i="9"/>
  <c r="G47" i="10"/>
  <c r="G48" i="10" s="1"/>
  <c r="D53" i="9"/>
  <c r="D54" i="9" s="1"/>
  <c r="D56" i="9"/>
  <c r="D58" i="9" s="1"/>
  <c r="B53" i="9"/>
  <c r="B54" i="9" s="1"/>
  <c r="I48" i="10"/>
  <c r="B48" i="10"/>
  <c r="I43" i="10"/>
  <c r="I44" i="10" s="1"/>
  <c r="G53" i="9"/>
  <c r="G54" i="9" s="1"/>
  <c r="C30" i="16"/>
  <c r="E47" i="9"/>
  <c r="I53" i="9"/>
  <c r="I54" i="9" s="1"/>
  <c r="C48" i="10"/>
  <c r="E47" i="10"/>
  <c r="E48" i="10" s="1"/>
  <c r="F52" i="9"/>
  <c r="H48" i="10"/>
  <c r="E55" i="9"/>
  <c r="D48" i="10"/>
  <c r="H47" i="9"/>
  <c r="D47" i="9"/>
  <c r="J47" i="9"/>
  <c r="C47" i="9"/>
  <c r="G47" i="9"/>
  <c r="F47" i="9"/>
  <c r="I47" i="9"/>
  <c r="H49" i="9"/>
  <c r="I56" i="9"/>
  <c r="I58" i="9" s="1"/>
  <c r="I48" i="9"/>
  <c r="I49" i="9" s="1"/>
  <c r="F49" i="9"/>
  <c r="D49" i="9"/>
  <c r="B47" i="9"/>
  <c r="D40" i="16"/>
  <c r="J52" i="9"/>
  <c r="B52" i="9"/>
  <c r="E56" i="9"/>
  <c r="H52" i="9"/>
  <c r="I52" i="9"/>
  <c r="G52" i="9"/>
  <c r="I9" i="16"/>
  <c r="E27" i="16"/>
  <c r="F27" i="16" s="1"/>
  <c r="E53" i="9"/>
  <c r="E54" i="9" s="1"/>
  <c r="E52" i="9"/>
  <c r="H9" i="16"/>
  <c r="G49" i="9"/>
  <c r="B58" i="9"/>
  <c r="B49" i="9"/>
  <c r="G55" i="9"/>
  <c r="G58" i="9" s="1"/>
  <c r="E39" i="16"/>
  <c r="E40" i="16" s="1"/>
  <c r="F20" i="16"/>
  <c r="G20" i="16" s="1"/>
  <c r="E23" i="16"/>
  <c r="F23" i="16" s="1"/>
  <c r="H58" i="9"/>
  <c r="C36" i="16"/>
  <c r="D28" i="16"/>
  <c r="C48" i="16"/>
  <c r="D35" i="16"/>
  <c r="D36" i="16" s="1"/>
  <c r="D46" i="16" s="1"/>
  <c r="E21" i="16"/>
  <c r="F26" i="16"/>
  <c r="C38" i="16"/>
  <c r="D25" i="16"/>
  <c r="D31" i="16" s="1"/>
  <c r="E48" i="9"/>
  <c r="E49" i="9" s="1"/>
  <c r="D37" i="16"/>
  <c r="D38" i="16" s="1"/>
  <c r="D47" i="16" s="1"/>
  <c r="C42" i="16"/>
  <c r="O9" i="16"/>
  <c r="C52" i="9"/>
  <c r="F9" i="16"/>
  <c r="J58" i="9"/>
  <c r="C59" i="9" s="1"/>
  <c r="D52" i="9"/>
  <c r="H19" i="16"/>
  <c r="I19" i="16" s="1"/>
  <c r="J19" i="16" s="1"/>
  <c r="C40" i="16"/>
  <c r="E22" i="16"/>
  <c r="D57" i="9" l="1"/>
  <c r="B57" i="9"/>
  <c r="E58" i="9"/>
  <c r="E59" i="9" s="1"/>
  <c r="F57" i="9"/>
  <c r="E57" i="9"/>
  <c r="H57" i="9"/>
  <c r="G57" i="9"/>
  <c r="J57" i="9"/>
  <c r="C57" i="9"/>
  <c r="I57" i="9"/>
  <c r="F37" i="16"/>
  <c r="F38" i="16" s="1"/>
  <c r="F47" i="16" s="1"/>
  <c r="G23" i="16"/>
  <c r="G37" i="16" s="1"/>
  <c r="G38" i="16" s="1"/>
  <c r="G47" i="16" s="1"/>
  <c r="F59" i="9"/>
  <c r="F22" i="16"/>
  <c r="G22" i="16" s="1"/>
  <c r="H22" i="16" s="1"/>
  <c r="I22" i="16" s="1"/>
  <c r="J22" i="16" s="1"/>
  <c r="K22" i="16" s="1"/>
  <c r="L22" i="16" s="1"/>
  <c r="M22" i="16" s="1"/>
  <c r="F28" i="16"/>
  <c r="G26" i="16"/>
  <c r="F21" i="16"/>
  <c r="E35" i="16"/>
  <c r="E36" i="16" s="1"/>
  <c r="E46" i="16" s="1"/>
  <c r="I59" i="9"/>
  <c r="E37" i="16"/>
  <c r="E38" i="16" s="1"/>
  <c r="E47" i="16" s="1"/>
  <c r="K19" i="16"/>
  <c r="D59" i="9"/>
  <c r="H59" i="9"/>
  <c r="B59" i="9"/>
  <c r="G27" i="16"/>
  <c r="H27" i="16" s="1"/>
  <c r="I27" i="16" s="1"/>
  <c r="G59" i="9"/>
  <c r="H20" i="16"/>
  <c r="G39" i="16"/>
  <c r="L13" i="16"/>
  <c r="L14" i="16" s="1"/>
  <c r="L12" i="16"/>
  <c r="E25" i="16"/>
  <c r="E48" i="16"/>
  <c r="D48" i="16"/>
  <c r="C49" i="16"/>
  <c r="E28" i="16"/>
  <c r="F39" i="16"/>
  <c r="F40" i="16" s="1"/>
  <c r="F48" i="16" s="1"/>
  <c r="D30" i="16"/>
  <c r="D41" i="16"/>
  <c r="M39" i="16" l="1"/>
  <c r="F35" i="16"/>
  <c r="F36" i="16" s="1"/>
  <c r="F46" i="16" s="1"/>
  <c r="P22" i="16"/>
  <c r="H23" i="16"/>
  <c r="G21" i="16"/>
  <c r="M37" i="16"/>
  <c r="E31" i="16"/>
  <c r="D42" i="16"/>
  <c r="D49" i="16" s="1"/>
  <c r="F25" i="16"/>
  <c r="F31" i="16" s="1"/>
  <c r="L19" i="16"/>
  <c r="G40" i="16"/>
  <c r="G48" i="16" s="1"/>
  <c r="I20" i="16"/>
  <c r="H39" i="16"/>
  <c r="H40" i="16" s="1"/>
  <c r="H48" i="16" s="1"/>
  <c r="E30" i="16"/>
  <c r="E41" i="16"/>
  <c r="E42" i="16" s="1"/>
  <c r="E49" i="16" s="1"/>
  <c r="H26" i="16"/>
  <c r="G28" i="16"/>
  <c r="F30" i="16"/>
  <c r="F41" i="16"/>
  <c r="F42" i="16" s="1"/>
  <c r="F49" i="16" s="1"/>
  <c r="J27" i="16"/>
  <c r="K27" i="16" s="1"/>
  <c r="L27" i="16" s="1"/>
  <c r="M27" i="16" s="1"/>
  <c r="M35" i="16" l="1"/>
  <c r="H37" i="16"/>
  <c r="H38" i="16" s="1"/>
  <c r="H47" i="16" s="1"/>
  <c r="I23" i="16"/>
  <c r="I26" i="16"/>
  <c r="I28" i="16" s="1"/>
  <c r="H28" i="16"/>
  <c r="M19" i="16"/>
  <c r="P19" i="16"/>
  <c r="M41" i="16"/>
  <c r="J20" i="16"/>
  <c r="K20" i="16" s="1"/>
  <c r="L20" i="16" s="1"/>
  <c r="I39" i="16"/>
  <c r="I40" i="16" s="1"/>
  <c r="I48" i="16" s="1"/>
  <c r="J48" i="16" s="1"/>
  <c r="K48" i="16" s="1"/>
  <c r="L48" i="16" s="1"/>
  <c r="H21" i="16"/>
  <c r="G35" i="16"/>
  <c r="G36" i="16" s="1"/>
  <c r="G46" i="16" s="1"/>
  <c r="G25" i="16"/>
  <c r="P27" i="16"/>
  <c r="G41" i="16"/>
  <c r="G30" i="16"/>
  <c r="N39" i="16" l="1"/>
  <c r="O39" i="16" s="1"/>
  <c r="O40" i="16" s="1"/>
  <c r="J26" i="16"/>
  <c r="J28" i="16" s="1"/>
  <c r="J23" i="16"/>
  <c r="I37" i="16"/>
  <c r="I30" i="16"/>
  <c r="I41" i="16"/>
  <c r="I42" i="16" s="1"/>
  <c r="I49" i="16" s="1"/>
  <c r="M20" i="16"/>
  <c r="P20" i="16"/>
  <c r="G42" i="16"/>
  <c r="G49" i="16" s="1"/>
  <c r="G31" i="16"/>
  <c r="H35" i="16"/>
  <c r="H36" i="16" s="1"/>
  <c r="H46" i="16" s="1"/>
  <c r="H25" i="16"/>
  <c r="H31" i="16" s="1"/>
  <c r="M31" i="16" s="1"/>
  <c r="I21" i="16"/>
  <c r="H30" i="16"/>
  <c r="H41" i="16"/>
  <c r="H42" i="16" s="1"/>
  <c r="H49" i="16" s="1"/>
  <c r="K26" i="16" l="1"/>
  <c r="K28" i="16" s="1"/>
  <c r="K30" i="16" s="1"/>
  <c r="J49" i="16"/>
  <c r="K49" i="16" s="1"/>
  <c r="L49" i="16" s="1"/>
  <c r="K23" i="16"/>
  <c r="J37" i="16"/>
  <c r="J38" i="16" s="1"/>
  <c r="J30" i="16"/>
  <c r="J41" i="16"/>
  <c r="J21" i="16"/>
  <c r="J35" i="16" s="1"/>
  <c r="J36" i="16" s="1"/>
  <c r="I35" i="16"/>
  <c r="I25" i="16"/>
  <c r="P25" i="16" s="1"/>
  <c r="M30" i="16" l="1"/>
  <c r="L26" i="16"/>
  <c r="P26" i="16" s="1"/>
  <c r="M25" i="16"/>
  <c r="K21" i="16"/>
  <c r="K35" i="16" s="1"/>
  <c r="L23" i="16"/>
  <c r="P23" i="16" s="1"/>
  <c r="K37" i="16"/>
  <c r="J42" i="16"/>
  <c r="N41" i="16"/>
  <c r="O41" i="16" s="1"/>
  <c r="O42" i="16" s="1"/>
  <c r="I36" i="16"/>
  <c r="I46" i="16" s="1"/>
  <c r="J46" i="16" s="1"/>
  <c r="K46" i="16" s="1"/>
  <c r="L46" i="16" s="1"/>
  <c r="M26" i="16" l="1"/>
  <c r="L28" i="16"/>
  <c r="M28" i="16" s="1"/>
  <c r="L21" i="16"/>
  <c r="M21" i="16" s="1"/>
  <c r="K38" i="16"/>
  <c r="M23" i="16"/>
  <c r="L37" i="16"/>
  <c r="L38" i="16" s="1"/>
  <c r="L35" i="16" l="1"/>
  <c r="N35" i="16" s="1"/>
  <c r="O35" i="16" s="1"/>
  <c r="O36" i="16" s="1"/>
  <c r="P21" i="16"/>
  <c r="N37" i="16"/>
  <c r="O37" i="16" s="1"/>
  <c r="O38" i="16" s="1"/>
  <c r="I38" i="16"/>
  <c r="I47" i="16" s="1"/>
  <c r="J47" i="16" s="1"/>
  <c r="K47" i="16" s="1"/>
  <c r="L47" i="16" s="1"/>
</calcChain>
</file>

<file path=xl/sharedStrings.xml><?xml version="1.0" encoding="utf-8"?>
<sst xmlns="http://schemas.openxmlformats.org/spreadsheetml/2006/main" count="3111" uniqueCount="167">
  <si>
    <t>일자</t>
    <phoneticPr fontId="2" type="noConversion"/>
  </si>
  <si>
    <t>관람객</t>
    <phoneticPr fontId="2" type="noConversion"/>
  </si>
  <si>
    <t>전시명</t>
    <phoneticPr fontId="2" type="noConversion"/>
  </si>
  <si>
    <t>바스키아</t>
  </si>
  <si>
    <t>드리머</t>
  </si>
  <si>
    <t>김정기</t>
  </si>
  <si>
    <t>시작</t>
    <phoneticPr fontId="2" type="noConversion"/>
  </si>
  <si>
    <t>종료</t>
    <phoneticPr fontId="2" type="noConversion"/>
  </si>
  <si>
    <t/>
  </si>
  <si>
    <t>기간</t>
    <phoneticPr fontId="2" type="noConversion"/>
  </si>
  <si>
    <t>알렉스</t>
  </si>
  <si>
    <t>페어리</t>
  </si>
  <si>
    <t>마르지엘라</t>
  </si>
  <si>
    <t>제이알</t>
  </si>
  <si>
    <t>오스틴 리</t>
  </si>
  <si>
    <t>윤협</t>
  </si>
  <si>
    <t>일차</t>
  </si>
  <si>
    <t>일차</t>
    <phoneticPr fontId="2" type="noConversion"/>
  </si>
  <si>
    <t>전시</t>
    <phoneticPr fontId="2" type="noConversion"/>
  </si>
  <si>
    <t>=SERIES(일차,,범위_바스키아,2)</t>
    <phoneticPr fontId="2" type="noConversion"/>
  </si>
  <si>
    <t>일수</t>
    <phoneticPr fontId="2" type="noConversion"/>
  </si>
  <si>
    <t>기준일자</t>
    <phoneticPr fontId="2" type="noConversion"/>
  </si>
  <si>
    <t>윤협</t>
    <phoneticPr fontId="2" type="noConversion"/>
  </si>
  <si>
    <t>일평균
관람객</t>
    <phoneticPr fontId="2" type="noConversion"/>
  </si>
  <si>
    <t>뮤지엄 관람객 현황</t>
    <phoneticPr fontId="2" type="noConversion"/>
  </si>
  <si>
    <t>(단위:명,일,%)</t>
    <phoneticPr fontId="2" type="noConversion"/>
  </si>
  <si>
    <t>■ 관람객 실적 요약</t>
    <phoneticPr fontId="2" type="noConversion"/>
  </si>
  <si>
    <t>구분</t>
    <phoneticPr fontId="2" type="noConversion"/>
  </si>
  <si>
    <t>제이알</t>
    <phoneticPr fontId="2" type="noConversion"/>
  </si>
  <si>
    <t>마르지엘라</t>
    <phoneticPr fontId="2" type="noConversion"/>
  </si>
  <si>
    <t>오스틴 리</t>
    <phoneticPr fontId="2" type="noConversion"/>
  </si>
  <si>
    <t>페어리</t>
    <phoneticPr fontId="2" type="noConversion"/>
  </si>
  <si>
    <t>알렉스</t>
    <phoneticPr fontId="2" type="noConversion"/>
  </si>
  <si>
    <t>드리머</t>
    <phoneticPr fontId="2" type="noConversion"/>
  </si>
  <si>
    <t>김정기</t>
    <phoneticPr fontId="2" type="noConversion"/>
  </si>
  <si>
    <t>바스키아</t>
    <phoneticPr fontId="2" type="noConversion"/>
  </si>
  <si>
    <t>■ 최근 일주일 관람객 추이 (2020년 바스키아 이후 기준)</t>
    <phoneticPr fontId="2" type="noConversion"/>
  </si>
  <si>
    <t>전체평균</t>
    <phoneticPr fontId="2" type="noConversion"/>
  </si>
  <si>
    <t>관람객
진도율</t>
    <phoneticPr fontId="2" type="noConversion"/>
  </si>
  <si>
    <t>일자
진도율</t>
    <phoneticPr fontId="2" type="noConversion"/>
  </si>
  <si>
    <t>목표
관람객</t>
    <phoneticPr fontId="2" type="noConversion"/>
  </si>
  <si>
    <t>일차
해당일자</t>
    <phoneticPr fontId="2" type="noConversion"/>
  </si>
  <si>
    <t>기간중
실적</t>
    <phoneticPr fontId="2" type="noConversion"/>
  </si>
  <si>
    <t>■ 참고 (전시별 관람객)</t>
    <phoneticPr fontId="2" type="noConversion"/>
  </si>
  <si>
    <t>국내작가전</t>
    <phoneticPr fontId="2" type="noConversion"/>
  </si>
  <si>
    <t>현추세
예상관람객</t>
    <phoneticPr fontId="2" type="noConversion"/>
  </si>
  <si>
    <t>금일 관람객</t>
    <phoneticPr fontId="2" type="noConversion"/>
  </si>
  <si>
    <t>판매처</t>
    <phoneticPr fontId="2" type="noConversion"/>
  </si>
  <si>
    <t>인터파크</t>
    <phoneticPr fontId="2" type="noConversion"/>
  </si>
  <si>
    <t>네이버</t>
    <phoneticPr fontId="2" type="noConversion"/>
  </si>
  <si>
    <t>카카오</t>
    <phoneticPr fontId="2" type="noConversion"/>
  </si>
  <si>
    <t>판매단가</t>
    <phoneticPr fontId="2" type="noConversion"/>
  </si>
  <si>
    <t>판매</t>
    <phoneticPr fontId="2" type="noConversion"/>
  </si>
  <si>
    <t>취소/환불</t>
    <phoneticPr fontId="2" type="noConversion"/>
  </si>
  <si>
    <t>회수</t>
    <phoneticPr fontId="2" type="noConversion"/>
  </si>
  <si>
    <t>%</t>
    <phoneticPr fontId="2" type="noConversion"/>
  </si>
  <si>
    <t>계</t>
    <phoneticPr fontId="2" type="noConversion"/>
  </si>
  <si>
    <t>■ 얼리버드 티켓 회수현황 (전일기준)</t>
    <phoneticPr fontId="2" type="noConversion"/>
  </si>
  <si>
    <t>29Cm</t>
    <phoneticPr fontId="2" type="noConversion"/>
  </si>
  <si>
    <t>%(취소제외)</t>
    <phoneticPr fontId="2" type="noConversion"/>
  </si>
  <si>
    <t>미사용</t>
    <phoneticPr fontId="2" type="noConversion"/>
  </si>
  <si>
    <t>관람객중
얼리버드비율</t>
    <phoneticPr fontId="2" type="noConversion"/>
  </si>
  <si>
    <t>평균대비 윤협</t>
    <phoneticPr fontId="2" type="noConversion"/>
  </si>
  <si>
    <t>국내작가평균</t>
    <phoneticPr fontId="2" type="noConversion"/>
  </si>
  <si>
    <t>일평균(명)</t>
    <phoneticPr fontId="2" type="noConversion"/>
  </si>
  <si>
    <t>총관람객(명)</t>
    <phoneticPr fontId="2" type="noConversion"/>
  </si>
  <si>
    <t>※ Bold표시 : 전시별 해당주차 평균 이상 관람객</t>
    <phoneticPr fontId="2" type="noConversion"/>
  </si>
  <si>
    <t>윤협기준 일자</t>
    <phoneticPr fontId="2" type="noConversion"/>
  </si>
  <si>
    <t>윤협기준 요일</t>
    <phoneticPr fontId="2" type="noConversion"/>
  </si>
  <si>
    <t>평일</t>
    <phoneticPr fontId="2" type="noConversion"/>
  </si>
  <si>
    <t>주말</t>
    <phoneticPr fontId="2" type="noConversion"/>
  </si>
  <si>
    <t>윤협 주말</t>
    <phoneticPr fontId="2" type="noConversion"/>
  </si>
  <si>
    <t>윤협 평일(누계)</t>
    <phoneticPr fontId="2" type="noConversion"/>
  </si>
  <si>
    <t>인원</t>
    <phoneticPr fontId="2" type="noConversion"/>
  </si>
  <si>
    <t>평균</t>
    <phoneticPr fontId="2" type="noConversion"/>
  </si>
  <si>
    <t>윤협비교</t>
    <phoneticPr fontId="2" type="noConversion"/>
  </si>
  <si>
    <t>■ 해당일차 기준 전시별 주말/주중관람객</t>
    <phoneticPr fontId="2" type="noConversion"/>
  </si>
  <si>
    <t>트랜드</t>
  </si>
  <si>
    <t>순위</t>
    <phoneticPr fontId="2" type="noConversion"/>
  </si>
  <si>
    <r>
      <t>■ 최근 일주일 관람객 추이</t>
    </r>
    <r>
      <rPr>
        <sz val="9"/>
        <color theme="1"/>
        <rFont val="나눔바른고딕OTF"/>
        <family val="1"/>
        <charset val="129"/>
      </rPr>
      <t xml:space="preserve"> (2020년 바스키아 이후 기준)</t>
    </r>
    <phoneticPr fontId="2" type="noConversion"/>
  </si>
  <si>
    <t>평일/주말</t>
    <phoneticPr fontId="2" type="noConversion"/>
  </si>
  <si>
    <t>※ 첨부 : 전시별 일자 차수별 그래프</t>
    <phoneticPr fontId="2" type="noConversion"/>
  </si>
  <si>
    <t>★ 매주목 대표님 보고</t>
    <phoneticPr fontId="2" type="noConversion"/>
  </si>
  <si>
    <t>당일 관람객</t>
    <phoneticPr fontId="2" type="noConversion"/>
  </si>
  <si>
    <t>윤협 평일</t>
    <phoneticPr fontId="2" type="noConversion"/>
  </si>
  <si>
    <t>무료</t>
    <phoneticPr fontId="2" type="noConversion"/>
  </si>
  <si>
    <t>유료</t>
    <phoneticPr fontId="2" type="noConversion"/>
  </si>
  <si>
    <t>전체</t>
    <phoneticPr fontId="2" type="noConversion"/>
  </si>
  <si>
    <t>트랜드</t>
    <phoneticPr fontId="2" type="noConversion"/>
  </si>
  <si>
    <t>예상편차</t>
    <phoneticPr fontId="2" type="noConversion"/>
  </si>
  <si>
    <t>■ 추세감안 관람객 예상 (단순계산)</t>
    <phoneticPr fontId="2" type="noConversion"/>
  </si>
  <si>
    <t>직전(오스틴 리) 평균관람객 차이 기준</t>
    <phoneticPr fontId="2" type="noConversion"/>
  </si>
  <si>
    <t>잔여일수</t>
    <phoneticPr fontId="2" type="noConversion"/>
  </si>
  <si>
    <t>일평균 관람객기준</t>
    <phoneticPr fontId="2" type="noConversion"/>
  </si>
  <si>
    <t>누계</t>
    <phoneticPr fontId="2" type="noConversion"/>
  </si>
  <si>
    <t>일평균</t>
    <phoneticPr fontId="2" type="noConversion"/>
  </si>
  <si>
    <t>경과</t>
    <phoneticPr fontId="2" type="noConversion"/>
  </si>
  <si>
    <t>잔여</t>
    <phoneticPr fontId="2" type="noConversion"/>
  </si>
  <si>
    <t>누계
관람객</t>
    <phoneticPr fontId="2" type="noConversion"/>
  </si>
  <si>
    <t>평균
관람객</t>
    <phoneticPr fontId="2" type="noConversion"/>
  </si>
  <si>
    <t>경과/진도율</t>
    <phoneticPr fontId="2" type="noConversion"/>
  </si>
  <si>
    <t>2. 전체기간 관람객 예상</t>
    <phoneticPr fontId="2" type="noConversion"/>
  </si>
  <si>
    <t>전체기간</t>
    <phoneticPr fontId="2" type="noConversion"/>
  </si>
  <si>
    <t>해외전시</t>
  </si>
  <si>
    <t>국내전시</t>
  </si>
  <si>
    <t>평균</t>
  </si>
  <si>
    <t>직전(오스틴 리) 
평균관람객  &lt;낙관&gt;</t>
    <phoneticPr fontId="2" type="noConversion"/>
  </si>
  <si>
    <t>일평균 관람객</t>
    <phoneticPr fontId="2" type="noConversion"/>
  </si>
  <si>
    <t>마르지엘라 
1주대비 지수 &lt;비관&gt;</t>
    <phoneticPr fontId="2" type="noConversion"/>
  </si>
  <si>
    <t>국내평균 대비</t>
  </si>
  <si>
    <t>해외평균 대비</t>
  </si>
  <si>
    <t>현추세 대비</t>
    <phoneticPr fontId="2" type="noConversion"/>
  </si>
  <si>
    <t>직전전시 대비</t>
    <phoneticPr fontId="2" type="noConversion"/>
  </si>
  <si>
    <t>대기만성형</t>
    <phoneticPr fontId="2" type="noConversion"/>
  </si>
  <si>
    <t>용두사미</t>
    <phoneticPr fontId="2" type="noConversion"/>
  </si>
  <si>
    <t>용두사미형</t>
    <phoneticPr fontId="2" type="noConversion"/>
  </si>
  <si>
    <t>일관형</t>
    <phoneticPr fontId="2" type="noConversion"/>
  </si>
  <si>
    <t>(단위 : 천명)</t>
    <phoneticPr fontId="2" type="noConversion"/>
  </si>
  <si>
    <t>해외
전시</t>
    <phoneticPr fontId="2" type="noConversion"/>
  </si>
  <si>
    <t>국내
전시</t>
    <phoneticPr fontId="2" type="noConversion"/>
  </si>
  <si>
    <t>대기만성</t>
    <phoneticPr fontId="2" type="noConversion"/>
  </si>
  <si>
    <t>첫2주대비
지수</t>
    <phoneticPr fontId="2" type="noConversion"/>
  </si>
  <si>
    <t>일관</t>
    <phoneticPr fontId="2" type="noConversion"/>
  </si>
  <si>
    <t>구분</t>
    <phoneticPr fontId="2" type="noConversion"/>
  </si>
  <si>
    <t>현상</t>
    <phoneticPr fontId="2" type="noConversion"/>
  </si>
  <si>
    <t>8w</t>
    <phoneticPr fontId="2" type="noConversion"/>
  </si>
  <si>
    <t>9w~</t>
    <phoneticPr fontId="2" type="noConversion"/>
  </si>
  <si>
    <t>초중기</t>
    <phoneticPr fontId="2" type="noConversion"/>
  </si>
  <si>
    <t>후기</t>
    <phoneticPr fontId="2" type="noConversion"/>
  </si>
  <si>
    <t>초중기
대비</t>
    <phoneticPr fontId="2" type="noConversion"/>
  </si>
  <si>
    <t>비 고</t>
    <phoneticPr fontId="2" type="noConversion"/>
  </si>
  <si>
    <t>실적</t>
    <phoneticPr fontId="2" type="noConversion"/>
  </si>
  <si>
    <t>추정</t>
    <phoneticPr fontId="2" type="noConversion"/>
  </si>
  <si>
    <t>국내평균
 대비</t>
    <phoneticPr fontId="2" type="noConversion"/>
  </si>
  <si>
    <t>해외평균
 대비</t>
    <phoneticPr fontId="2" type="noConversion"/>
  </si>
  <si>
    <t>(단위 : 천명)</t>
    <phoneticPr fontId="2" type="noConversion"/>
  </si>
  <si>
    <t>3. 증감지수 산출</t>
    <phoneticPr fontId="2" type="noConversion"/>
  </si>
  <si>
    <t>4. 현재전시 Sim</t>
    <phoneticPr fontId="2" type="noConversion"/>
  </si>
  <si>
    <t>트렌드
과거 -&gt; 최근</t>
    <phoneticPr fontId="2" type="noConversion"/>
  </si>
  <si>
    <t>반짝형</t>
    <phoneticPr fontId="2" type="noConversion"/>
  </si>
  <si>
    <t>국내전시평균(반짝형)</t>
    <phoneticPr fontId="2" type="noConversion"/>
  </si>
  <si>
    <t>국내평균(반짝형)</t>
    <phoneticPr fontId="2" type="noConversion"/>
  </si>
  <si>
    <t>누계(명)</t>
    <phoneticPr fontId="2" type="noConversion"/>
  </si>
  <si>
    <t>1. 당일 차수 진도현황</t>
    <phoneticPr fontId="2" type="noConversion"/>
  </si>
  <si>
    <t>….</t>
    <phoneticPr fontId="2" type="noConversion"/>
  </si>
  <si>
    <t>2. 전시별 2주 단위별 관람객 추이 _ 전시별 유형</t>
    <phoneticPr fontId="2" type="noConversion"/>
  </si>
  <si>
    <t>뮤지엄 관람객 주차별 현황</t>
    <phoneticPr fontId="2" type="noConversion"/>
  </si>
  <si>
    <t>목표대비
평균관람객</t>
    <phoneticPr fontId="2" type="noConversion"/>
  </si>
  <si>
    <t>일차</t>
    <phoneticPr fontId="2" type="noConversion"/>
  </si>
  <si>
    <t>년</t>
    <phoneticPr fontId="2" type="noConversion"/>
  </si>
  <si>
    <t>월</t>
    <phoneticPr fontId="2" type="noConversion"/>
  </si>
  <si>
    <t>요일</t>
    <phoneticPr fontId="2" type="noConversion"/>
  </si>
  <si>
    <t>얼리버드계</t>
    <phoneticPr fontId="2" type="noConversion"/>
  </si>
  <si>
    <t>얼리버드비율</t>
    <phoneticPr fontId="2" type="noConversion"/>
  </si>
  <si>
    <t>얼리버드</t>
    <phoneticPr fontId="2" type="noConversion"/>
  </si>
  <si>
    <t>슈퍼얼리버드</t>
    <phoneticPr fontId="2" type="noConversion"/>
  </si>
  <si>
    <t>평일휴일</t>
    <phoneticPr fontId="2" type="noConversion"/>
  </si>
  <si>
    <t>목</t>
  </si>
  <si>
    <t>금</t>
  </si>
  <si>
    <t>토</t>
  </si>
  <si>
    <t>일</t>
  </si>
  <si>
    <t>월</t>
  </si>
  <si>
    <t>화</t>
  </si>
  <si>
    <t>수</t>
  </si>
  <si>
    <t>주말</t>
  </si>
  <si>
    <t>평일</t>
  </si>
  <si>
    <t>https://wikidocs.net/157782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</si>
</sst>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6">
    <numFmt numFmtId="176" formatCode="#,##0&quot;일&quot;&quot;차&quot;"/>
    <numFmt numFmtId="177" formatCode="\(#,##0&quot;위&quot;\)"/>
    <numFmt numFmtId="178" formatCode="&quot;Av &quot;#,##0"/>
    <numFmt numFmtId="179" formatCode="#,##0;[Red]\▲#,##0"/>
    <numFmt numFmtId="180" formatCode="yy/mm/dd"/>
    <numFmt numFmtId="181" formatCode="#,##0&quot;일&quot;"/>
    <numFmt numFmtId="182" formatCode="#,##0&quot;명&quot;"/>
    <numFmt numFmtId="183" formatCode="yy\.mm\.dd"/>
    <numFmt numFmtId="184" formatCode="0.0_);[Red]\(0.0\)"/>
    <numFmt numFmtId="185" formatCode="0.0%"/>
    <numFmt numFmtId="186" formatCode="&quot;직전대비&quot;#,##0;[Red]&quot;직전대비&quot;\▲#,##0"/>
    <numFmt numFmtId="187" formatCode="&quot;평&quot;&quot;균&quot;\ #,##0&quot;명&quot;"/>
    <numFmt numFmtId="188" formatCode="#,##0&quot;일&quot;&quot;차&quot;\ &quot;기&quot;&quot;준&quot;"/>
    <numFmt numFmtId="189" formatCode="&quot;윤협대비&quot;#,##0;[Red]&quot;윤협대비&quot;\▲#,##0"/>
    <numFmt numFmtId="190" formatCode="\ #,##0&quot;명&quot;;[Red]\▲#,##0&quot;명&quot;"/>
    <numFmt numFmtId="191" formatCode="\ \ \ \ \ \ \ \■\ #,##0&quot;일차 기준 전시별 평일/주말관람객&quot;"/>
    <numFmt numFmtId="192" formatCode="#,##0&quot;순위&quot;"/>
    <numFmt numFmtId="193" formatCode="&quot;국내평균대비&quot;#,##0\↑;[Red]&quot;국내평균대비&quot;#,##0\↓"/>
    <numFmt numFmtId="194" formatCode="&quot;전체평균대비&quot;#,##0\↑;[Red]&quot;전체평균대비&quot;#,##0\↓"/>
    <numFmt numFmtId="195" formatCode="#,##0\w"/>
    <numFmt numFmtId="196" formatCode="#,##0&quot;순위 / 8전시&quot;"/>
    <numFmt numFmtId="197" formatCode="\ \ \ \ \ \ \ \■\ #,##0&quot;일차 기준 전시별 누적, 평균관람객&quot;"/>
    <numFmt numFmtId="198" formatCode="\ \ \ \ \ \ \ \■\ #,##0&quot;일차 기준 전시별 관람객 추이&quot;"/>
    <numFmt numFmtId="199" formatCode="&quot;일평&quot;&quot;균&quot;\ #,##0&quot;명&quot;"/>
    <numFmt numFmtId="200" formatCode="&quot;누계 &quot;#,##0&quot;명&quot;"/>
    <numFmt numFmtId="201" formatCode="&quot;◁ &quot;#,##0&quot;일&quot;&quot;차&quot;"/>
    <numFmt numFmtId="202" formatCode="\△#,##0;[Red]\▼#,##0"/>
    <numFmt numFmtId="203" formatCode="#,##0%;[Red]\▲#,##0%"/>
    <numFmt numFmtId="204" formatCode="#,##0&quot;명 여유&quot;;[Red]#,##0&quot;명 부족&quot;"/>
    <numFmt numFmtId="205" formatCode="#,##0.0,"/>
    <numFmt numFmtId="206" formatCode="\△#,##0.0,;[Red]\▲#,##0.0,"/>
    <numFmt numFmtId="207" formatCode="#,##0&quot;명&quot;&quot;대&quot;&quot;비&quot;"/>
    <numFmt numFmtId="208" formatCode="#,##0&quot;명&quot;;[Red]\▲#,##0&quot;명&quot;"/>
    <numFmt numFmtId="209" formatCode="\ \△#,##0.0,;[Red]\▼#,##0.0,"/>
    <numFmt numFmtId="210" formatCode="#,##0\w\~"/>
    <numFmt numFmtId="211" formatCode="\(\△#,##0.0%\);[Red]\(\▲#,##0.0%\)"/>
  </numFmts>
  <fonts count="38" x14ac:knownFonts="1">
    <font>
      <sz val="9"/>
      <color theme="1"/>
      <name val="나눔바른고딕OTF"/>
      <family val="2"/>
      <charset val="129"/>
    </font>
    <font>
      <sz val="9"/>
      <color theme="1"/>
      <name val="나눔바른고딕OTF Light"/>
      <family val="3"/>
      <charset val="129"/>
    </font>
    <font>
      <sz val="8"/>
      <name val="나눔바른고딕OTF"/>
      <family val="2"/>
      <charset val="129"/>
    </font>
    <font>
      <sz val="8"/>
      <color theme="1"/>
      <name val="나눔바른고딕OTF Light"/>
      <family val="3"/>
      <charset val="129"/>
    </font>
    <font>
      <b/>
      <sz val="12"/>
      <color theme="0"/>
      <name val="나눔바른고딕OTF"/>
      <family val="1"/>
      <charset val="129"/>
    </font>
    <font>
      <b/>
      <sz val="15"/>
      <color theme="1"/>
      <name val="나눔바른고딕OTF"/>
      <family val="1"/>
      <charset val="129"/>
    </font>
    <font>
      <sz val="10"/>
      <color theme="5" tint="-0.249977111117893"/>
      <name val="나눔바른고딕OTF"/>
      <family val="2"/>
      <charset val="129"/>
    </font>
    <font>
      <sz val="15"/>
      <color theme="1"/>
      <name val="나눔바른고딕OTF"/>
      <family val="2"/>
      <charset val="129"/>
    </font>
    <font>
      <sz val="9"/>
      <color theme="1"/>
      <name val="나눔바른고딕 Light"/>
      <family val="3"/>
      <charset val="129"/>
    </font>
    <font>
      <b/>
      <sz val="15"/>
      <color theme="0"/>
      <name val="나눔바른고딕 Light"/>
      <family val="3"/>
      <charset val="129"/>
    </font>
    <font>
      <sz val="9"/>
      <color theme="1"/>
      <name val="나눔바른고딕OTF"/>
      <family val="1"/>
      <charset val="129"/>
    </font>
    <font>
      <b/>
      <sz val="15"/>
      <color theme="0"/>
      <name val="나눔바른고딕OTF"/>
      <family val="1"/>
      <charset val="129"/>
    </font>
    <font>
      <sz val="9"/>
      <name val="나눔바른고딕 Light"/>
      <family val="3"/>
      <charset val="129"/>
    </font>
    <font>
      <sz val="9"/>
      <color theme="1" tint="0.34998626667073579"/>
      <name val="나눔바른고딕 Light"/>
      <family val="3"/>
      <charset val="129"/>
    </font>
    <font>
      <sz val="12"/>
      <color theme="0"/>
      <name val="나눔바른고딕OTF"/>
      <family val="1"/>
      <charset val="129"/>
    </font>
    <font>
      <sz val="11"/>
      <color theme="1"/>
      <name val="나눔바른고딕OTF"/>
      <family val="1"/>
      <charset val="129"/>
    </font>
    <font>
      <sz val="9"/>
      <name val="나눔바른고딕OTF"/>
      <family val="1"/>
      <charset val="129"/>
    </font>
    <font>
      <sz val="11"/>
      <color theme="0"/>
      <name val="나눔바른고딕OTF"/>
      <family val="1"/>
      <charset val="129"/>
    </font>
    <font>
      <u/>
      <sz val="10"/>
      <name val="나눔바른고딕OTF"/>
      <family val="1"/>
      <charset val="129"/>
    </font>
    <font>
      <b/>
      <sz val="9"/>
      <color rgb="FFC00000"/>
      <name val="나눔바른고딕OTF"/>
      <family val="1"/>
      <charset val="129"/>
    </font>
    <font>
      <b/>
      <sz val="9"/>
      <color theme="1"/>
      <name val="나눔바른고딕 Light"/>
      <family val="3"/>
      <charset val="129"/>
    </font>
    <font>
      <sz val="9"/>
      <color theme="0"/>
      <name val="나눔바른고딕 Light"/>
      <family val="3"/>
      <charset val="129"/>
    </font>
    <font>
      <sz val="10"/>
      <color theme="1"/>
      <name val="나눔바른고딕OTF"/>
      <family val="1"/>
      <charset val="129"/>
    </font>
    <font>
      <b/>
      <sz val="15"/>
      <name val="나눔바른고딕OTF"/>
      <family val="1"/>
      <charset val="129"/>
    </font>
    <font>
      <b/>
      <sz val="15"/>
      <name val="나눔바른고딕 Light"/>
      <family val="3"/>
      <charset val="129"/>
    </font>
    <font>
      <b/>
      <sz val="10"/>
      <color theme="1"/>
      <name val="나눔바른고딕OTF"/>
      <family val="1"/>
      <charset val="129"/>
    </font>
    <font>
      <b/>
      <sz val="11"/>
      <color theme="1"/>
      <name val="나눔바른고딕OTF"/>
      <family val="1"/>
      <charset val="129"/>
    </font>
    <font>
      <sz val="10"/>
      <color theme="1"/>
      <name val="나눔바른고딕OTF Light"/>
      <family val="3"/>
      <charset val="129"/>
    </font>
    <font>
      <b/>
      <sz val="10"/>
      <color theme="1"/>
      <name val="나눔바른고딕OTF Light"/>
      <family val="3"/>
      <charset val="129"/>
    </font>
    <font>
      <sz val="12"/>
      <color theme="1"/>
      <name val="나눔바른고딕OTF"/>
      <family val="2"/>
      <charset val="129"/>
    </font>
    <font>
      <sz val="12"/>
      <color theme="1"/>
      <name val="나눔바른고딕OTF"/>
      <family val="1"/>
      <charset val="129"/>
    </font>
    <font>
      <sz val="10"/>
      <color theme="0"/>
      <name val="나눔바른고딕OTF Light"/>
      <family val="3"/>
      <charset val="129"/>
    </font>
    <font>
      <sz val="8"/>
      <color theme="1"/>
      <name val="나눔바른고딕 Light"/>
      <family val="3"/>
      <charset val="129"/>
    </font>
    <font>
      <b/>
      <sz val="17"/>
      <color theme="0"/>
      <name val="나눔바른고딕OTF"/>
      <family val="1"/>
      <charset val="129"/>
    </font>
    <font>
      <b/>
      <sz val="9"/>
      <color rgb="FFFF0000"/>
      <name val="나눔바른고딕OTF"/>
      <family val="1"/>
      <charset val="129"/>
    </font>
    <font>
      <sz val="9"/>
      <color theme="1" tint="0.499984740745262"/>
      <name val="나눔바른고딕OTF"/>
      <family val="2"/>
      <charset val="129"/>
    </font>
    <font>
      <sz val="9"/>
      <color theme="1" tint="0.499984740745262"/>
      <name val="나눔바른고딕OTF"/>
      <family val="1"/>
      <charset val="129"/>
    </font>
    <font>
      <sz val="8"/>
      <color theme="1" tint="0.499984740745262"/>
      <name val="나눔바른고딕 Light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darkGray">
        <fgColor theme="3" tint="-0.49998474074526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mediumGray">
        <fgColor theme="8" tint="-0.499984740745262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</fills>
  <borders count="5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theme="0"/>
      </left>
      <right/>
      <top style="thin">
        <color auto="1"/>
      </top>
      <bottom/>
      <diagonal/>
    </border>
    <border>
      <left/>
      <right style="hair">
        <color theme="0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slantDashDot">
        <color theme="5" tint="-0.24994659260841701"/>
      </left>
      <right style="hair">
        <color auto="1"/>
      </right>
      <top style="slantDashDot">
        <color theme="5" tint="-0.24994659260841701"/>
      </top>
      <bottom style="slantDashDot">
        <color theme="5" tint="-0.24994659260841701"/>
      </bottom>
      <diagonal/>
    </border>
    <border>
      <left style="hair">
        <color auto="1"/>
      </left>
      <right style="hair">
        <color auto="1"/>
      </right>
      <top style="slantDashDot">
        <color theme="5" tint="-0.24994659260841701"/>
      </top>
      <bottom style="slantDashDot">
        <color theme="5" tint="-0.24994659260841701"/>
      </bottom>
      <diagonal/>
    </border>
    <border>
      <left style="hair">
        <color auto="1"/>
      </left>
      <right style="slantDashDot">
        <color theme="5" tint="-0.24994659260841701"/>
      </right>
      <top style="slantDashDot">
        <color theme="5" tint="-0.24994659260841701"/>
      </top>
      <bottom style="slantDashDot">
        <color theme="5" tint="-0.2499465926084170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slantDashDot">
        <color theme="5" tint="-0.24994659260841701"/>
      </left>
      <right/>
      <top style="slantDashDot">
        <color theme="5" tint="-0.24994659260841701"/>
      </top>
      <bottom style="slantDashDot">
        <color theme="5" tint="-0.2499465926084170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slantDashDot">
        <color theme="5" tint="-0.24994659260841701"/>
      </top>
      <bottom style="slantDashDot">
        <color theme="5" tint="-0.24994659260841701"/>
      </bottom>
      <diagonal/>
    </border>
    <border>
      <left style="slantDashDot">
        <color theme="8" tint="-0.499984740745262"/>
      </left>
      <right style="slantDashDot">
        <color theme="8" tint="-0.499984740745262"/>
      </right>
      <top style="slantDashDot">
        <color theme="8" tint="-0.499984740745262"/>
      </top>
      <bottom/>
      <diagonal/>
    </border>
    <border>
      <left style="slantDashDot">
        <color theme="8" tint="-0.499984740745262"/>
      </left>
      <right style="slantDashDot">
        <color theme="8" tint="-0.499984740745262"/>
      </right>
      <top/>
      <bottom/>
      <diagonal/>
    </border>
    <border>
      <left style="slantDashDot">
        <color theme="8" tint="-0.499984740745262"/>
      </left>
      <right style="slantDashDot">
        <color theme="8" tint="-0.499984740745262"/>
      </right>
      <top style="slantDashDot">
        <color theme="5" tint="-0.24994659260841701"/>
      </top>
      <bottom style="slantDashDot">
        <color theme="5" tint="-0.24994659260841701"/>
      </bottom>
      <diagonal/>
    </border>
    <border>
      <left style="slantDashDot">
        <color theme="8" tint="-0.499984740745262"/>
      </left>
      <right style="slantDashDot">
        <color theme="8" tint="-0.499984740745262"/>
      </right>
      <top style="hair">
        <color auto="1"/>
      </top>
      <bottom/>
      <diagonal/>
    </border>
    <border>
      <left style="slantDashDot">
        <color theme="8" tint="-0.499984740745262"/>
      </left>
      <right style="slantDashDot">
        <color theme="8" tint="-0.499984740745262"/>
      </right>
      <top/>
      <bottom style="hair">
        <color auto="1"/>
      </bottom>
      <diagonal/>
    </border>
    <border>
      <left style="slantDashDot">
        <color theme="8" tint="-0.499984740745262"/>
      </left>
      <right style="slantDashDot">
        <color theme="8" tint="-0.499984740745262"/>
      </right>
      <top/>
      <bottom style="slantDashDot">
        <color theme="8" tint="-0.4999847407452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3" fontId="1" fillId="0" borderId="0" xfId="0" applyNumberFormat="1" applyFo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vertical="center" wrapText="1"/>
    </xf>
    <xf numFmtId="176" fontId="5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Fill="1">
      <alignment vertical="center"/>
    </xf>
    <xf numFmtId="3" fontId="0" fillId="0" borderId="0" xfId="0" applyNumberFormat="1" applyFill="1">
      <alignment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3" fontId="8" fillId="0" borderId="1" xfId="0" applyNumberFormat="1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4" fontId="8" fillId="5" borderId="0" xfId="0" applyNumberFormat="1" applyFont="1" applyFill="1">
      <alignment vertical="center"/>
    </xf>
    <xf numFmtId="179" fontId="8" fillId="2" borderId="1" xfId="0" applyNumberFormat="1" applyFont="1" applyFill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179" fontId="8" fillId="2" borderId="10" xfId="0" applyNumberFormat="1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Continuous" vertical="center"/>
    </xf>
    <xf numFmtId="0" fontId="9" fillId="6" borderId="0" xfId="0" applyFont="1" applyFill="1" applyBorder="1" applyAlignment="1">
      <alignment horizontal="centerContinuous" vertical="center"/>
    </xf>
    <xf numFmtId="0" fontId="10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horizontal="centerContinuous"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right"/>
    </xf>
    <xf numFmtId="0" fontId="8" fillId="2" borderId="1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3" fontId="8" fillId="3" borderId="16" xfId="0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3" fontId="8" fillId="0" borderId="19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3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3" fontId="8" fillId="2" borderId="21" xfId="0" applyNumberFormat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3" fontId="8" fillId="2" borderId="16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15" fillId="0" borderId="0" xfId="0" applyFont="1" applyBorder="1">
      <alignment vertical="center"/>
    </xf>
    <xf numFmtId="183" fontId="8" fillId="0" borderId="7" xfId="0" applyNumberFormat="1" applyFont="1" applyBorder="1" applyAlignment="1">
      <alignment horizontal="center" vertical="center"/>
    </xf>
    <xf numFmtId="183" fontId="8" fillId="0" borderId="8" xfId="0" applyNumberFormat="1" applyFont="1" applyBorder="1" applyAlignment="1">
      <alignment horizontal="center" vertical="center"/>
    </xf>
    <xf numFmtId="0" fontId="8" fillId="3" borderId="17" xfId="0" applyFont="1" applyFill="1" applyBorder="1">
      <alignment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80" fontId="13" fillId="0" borderId="7" xfId="0" applyNumberFormat="1" applyFont="1" applyBorder="1" applyAlignment="1">
      <alignment horizontal="center" vertical="center" shrinkToFit="1"/>
    </xf>
    <xf numFmtId="180" fontId="13" fillId="0" borderId="14" xfId="0" applyNumberFormat="1" applyFont="1" applyBorder="1" applyAlignment="1">
      <alignment horizontal="center" vertical="center" shrinkToFit="1"/>
    </xf>
    <xf numFmtId="3" fontId="8" fillId="0" borderId="16" xfId="0" applyNumberFormat="1" applyFont="1" applyBorder="1" applyAlignment="1">
      <alignment horizontal="center" vertical="center"/>
    </xf>
    <xf numFmtId="180" fontId="13" fillId="0" borderId="5" xfId="0" applyNumberFormat="1" applyFont="1" applyBorder="1" applyAlignment="1">
      <alignment horizontal="center" vertical="center" shrinkToFit="1"/>
    </xf>
    <xf numFmtId="180" fontId="13" fillId="0" borderId="19" xfId="0" applyNumberFormat="1" applyFont="1" applyBorder="1" applyAlignment="1">
      <alignment horizontal="center" vertical="center" shrinkToFit="1"/>
    </xf>
    <xf numFmtId="181" fontId="8" fillId="0" borderId="5" xfId="0" applyNumberFormat="1" applyFont="1" applyBorder="1" applyAlignment="1">
      <alignment horizontal="center" vertical="center"/>
    </xf>
    <xf numFmtId="181" fontId="8" fillId="0" borderId="19" xfId="0" applyNumberFormat="1" applyFont="1" applyBorder="1" applyAlignment="1">
      <alignment horizontal="center" vertical="center"/>
    </xf>
    <xf numFmtId="3" fontId="1" fillId="9" borderId="0" xfId="0" applyNumberFormat="1" applyFont="1" applyFill="1" applyAlignment="1">
      <alignment horizontal="center" vertical="center"/>
    </xf>
    <xf numFmtId="3" fontId="8" fillId="0" borderId="7" xfId="0" applyNumberFormat="1" applyFont="1" applyBorder="1" applyAlignment="1">
      <alignment horizontal="right" vertical="center" indent="2"/>
    </xf>
    <xf numFmtId="184" fontId="8" fillId="0" borderId="7" xfId="0" applyNumberFormat="1" applyFont="1" applyBorder="1" applyAlignment="1">
      <alignment horizontal="right" vertical="center" indent="2"/>
    </xf>
    <xf numFmtId="3" fontId="8" fillId="0" borderId="5" xfId="0" applyNumberFormat="1" applyFont="1" applyBorder="1" applyAlignment="1">
      <alignment horizontal="right" vertical="center" indent="2"/>
    </xf>
    <xf numFmtId="184" fontId="8" fillId="0" borderId="5" xfId="0" applyNumberFormat="1" applyFont="1" applyBorder="1" applyAlignment="1">
      <alignment horizontal="right" vertical="center" indent="2"/>
    </xf>
    <xf numFmtId="3" fontId="8" fillId="0" borderId="10" xfId="0" applyNumberFormat="1" applyFont="1" applyBorder="1" applyAlignment="1">
      <alignment horizontal="right" vertical="center" indent="2"/>
    </xf>
    <xf numFmtId="184" fontId="8" fillId="0" borderId="10" xfId="0" applyNumberFormat="1" applyFont="1" applyBorder="1" applyAlignment="1">
      <alignment horizontal="right" vertical="center" indent="2"/>
    </xf>
    <xf numFmtId="0" fontId="8" fillId="0" borderId="0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3" fontId="18" fillId="2" borderId="10" xfId="0" applyNumberFormat="1" applyFont="1" applyFill="1" applyBorder="1" applyAlignment="1">
      <alignment horizontal="right" vertical="center" indent="2"/>
    </xf>
    <xf numFmtId="176" fontId="14" fillId="8" borderId="27" xfId="0" applyNumberFormat="1" applyFont="1" applyFill="1" applyBorder="1" applyAlignment="1">
      <alignment horizontal="centerContinuous" vertical="center" wrapText="1"/>
    </xf>
    <xf numFmtId="176" fontId="14" fillId="8" borderId="28" xfId="0" applyNumberFormat="1" applyFont="1" applyFill="1" applyBorder="1" applyAlignment="1">
      <alignment horizontal="centerContinuous" vertical="center" wrapText="1"/>
    </xf>
    <xf numFmtId="182" fontId="14" fillId="8" borderId="27" xfId="0" applyNumberFormat="1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 wrapText="1"/>
    </xf>
    <xf numFmtId="3" fontId="12" fillId="3" borderId="29" xfId="0" applyNumberFormat="1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 wrapText="1"/>
    </xf>
    <xf numFmtId="9" fontId="16" fillId="3" borderId="29" xfId="0" applyNumberFormat="1" applyFont="1" applyFill="1" applyBorder="1" applyAlignment="1">
      <alignment horizontal="centerContinuous" vertical="center"/>
    </xf>
    <xf numFmtId="0" fontId="16" fillId="3" borderId="27" xfId="0" applyFont="1" applyFill="1" applyBorder="1" applyAlignment="1">
      <alignment horizontal="center" vertical="center" wrapText="1"/>
    </xf>
    <xf numFmtId="9" fontId="16" fillId="3" borderId="27" xfId="0" applyNumberFormat="1" applyFont="1" applyFill="1" applyBorder="1" applyAlignment="1">
      <alignment horizontal="centerContinuous" vertical="center"/>
    </xf>
    <xf numFmtId="0" fontId="8" fillId="2" borderId="15" xfId="0" applyFont="1" applyFill="1" applyBorder="1" applyAlignment="1">
      <alignment horizontal="center" vertical="center"/>
    </xf>
    <xf numFmtId="176" fontId="8" fillId="2" borderId="8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8" fillId="2" borderId="8" xfId="0" applyNumberFormat="1" applyFont="1" applyFill="1" applyBorder="1" applyAlignment="1">
      <alignment horizontal="center" vertical="center"/>
    </xf>
    <xf numFmtId="9" fontId="8" fillId="2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9" fontId="10" fillId="2" borderId="16" xfId="0" applyNumberFormat="1" applyFont="1" applyFill="1" applyBorder="1" applyAlignment="1">
      <alignment horizontal="center" vertical="center" wrapText="1"/>
    </xf>
    <xf numFmtId="3" fontId="19" fillId="0" borderId="7" xfId="0" applyNumberFormat="1" applyFont="1" applyBorder="1" applyAlignment="1">
      <alignment horizontal="right" vertical="center" indent="2"/>
    </xf>
    <xf numFmtId="184" fontId="19" fillId="0" borderId="7" xfId="0" applyNumberFormat="1" applyFont="1" applyBorder="1" applyAlignment="1">
      <alignment horizontal="right" vertical="center" indent="2"/>
    </xf>
    <xf numFmtId="3" fontId="19" fillId="0" borderId="5" xfId="0" applyNumberFormat="1" applyFont="1" applyBorder="1" applyAlignment="1">
      <alignment horizontal="right" vertical="center" indent="2"/>
    </xf>
    <xf numFmtId="184" fontId="19" fillId="0" borderId="5" xfId="0" applyNumberFormat="1" applyFont="1" applyBorder="1" applyAlignment="1">
      <alignment horizontal="right" vertical="center" indent="2"/>
    </xf>
    <xf numFmtId="3" fontId="19" fillId="0" borderId="10" xfId="0" applyNumberFormat="1" applyFont="1" applyBorder="1" applyAlignment="1">
      <alignment horizontal="right" vertical="center" indent="2"/>
    </xf>
    <xf numFmtId="184" fontId="19" fillId="0" borderId="10" xfId="0" applyNumberFormat="1" applyFont="1" applyBorder="1" applyAlignment="1">
      <alignment horizontal="right" vertical="center" indent="2"/>
    </xf>
    <xf numFmtId="176" fontId="8" fillId="2" borderId="14" xfId="0" applyNumberFormat="1" applyFont="1" applyFill="1" applyBorder="1" applyAlignment="1">
      <alignment horizontal="center" vertical="center"/>
    </xf>
    <xf numFmtId="3" fontId="8" fillId="0" borderId="19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76" fontId="8" fillId="2" borderId="5" xfId="0" applyNumberFormat="1" applyFont="1" applyFill="1" applyBorder="1" applyAlignment="1">
      <alignment horizontal="center" vertical="center"/>
    </xf>
    <xf numFmtId="176" fontId="8" fillId="2" borderId="19" xfId="0" applyNumberFormat="1" applyFont="1" applyFill="1" applyBorder="1" applyAlignment="1">
      <alignment horizontal="center" vertical="center"/>
    </xf>
    <xf numFmtId="183" fontId="8" fillId="2" borderId="5" xfId="0" applyNumberFormat="1" applyFont="1" applyFill="1" applyBorder="1" applyAlignment="1">
      <alignment horizontal="center" vertical="center"/>
    </xf>
    <xf numFmtId="183" fontId="8" fillId="2" borderId="19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0" xfId="0" applyFont="1" applyBorder="1" applyAlignment="1">
      <alignment horizontal="right" vertical="center"/>
    </xf>
    <xf numFmtId="186" fontId="8" fillId="0" borderId="8" xfId="0" applyNumberFormat="1" applyFont="1" applyBorder="1" applyAlignment="1">
      <alignment horizontal="center" vertical="center"/>
    </xf>
    <xf numFmtId="0" fontId="1" fillId="10" borderId="0" xfId="0" applyFont="1" applyFill="1">
      <alignment vertical="center"/>
    </xf>
    <xf numFmtId="0" fontId="1" fillId="10" borderId="0" xfId="0" applyFont="1" applyFill="1" applyAlignment="1">
      <alignment horizontal="center" vertical="center"/>
    </xf>
    <xf numFmtId="187" fontId="8" fillId="0" borderId="8" xfId="0" applyNumberFormat="1" applyFont="1" applyFill="1" applyBorder="1" applyAlignment="1">
      <alignment horizontal="center" vertical="center"/>
    </xf>
    <xf numFmtId="187" fontId="8" fillId="0" borderId="6" xfId="0" applyNumberFormat="1" applyFont="1" applyBorder="1" applyAlignment="1">
      <alignment horizontal="center" vertical="center"/>
    </xf>
    <xf numFmtId="182" fontId="8" fillId="0" borderId="8" xfId="0" applyNumberFormat="1" applyFont="1" applyBorder="1" applyAlignment="1">
      <alignment horizontal="center" vertical="center"/>
    </xf>
    <xf numFmtId="182" fontId="4" fillId="4" borderId="7" xfId="0" applyNumberFormat="1" applyFont="1" applyFill="1" applyBorder="1" applyAlignment="1">
      <alignment horizontal="center" vertical="center"/>
    </xf>
    <xf numFmtId="3" fontId="8" fillId="0" borderId="0" xfId="0" applyNumberFormat="1" applyFont="1" applyBorder="1" applyAlignment="1">
      <alignment horizontal="center" vertical="center"/>
    </xf>
    <xf numFmtId="188" fontId="8" fillId="0" borderId="0" xfId="0" applyNumberFormat="1" applyFont="1" applyBorder="1" applyAlignment="1">
      <alignment horizontal="center" vertical="center"/>
    </xf>
    <xf numFmtId="182" fontId="8" fillId="0" borderId="4" xfId="0" applyNumberFormat="1" applyFont="1" applyBorder="1" applyAlignment="1">
      <alignment horizontal="center" vertical="center"/>
    </xf>
    <xf numFmtId="182" fontId="8" fillId="0" borderId="5" xfId="0" applyNumberFormat="1" applyFont="1" applyBorder="1" applyAlignment="1">
      <alignment horizontal="center" vertical="center"/>
    </xf>
    <xf numFmtId="182" fontId="8" fillId="0" borderId="19" xfId="0" applyNumberFormat="1" applyFont="1" applyBorder="1" applyAlignment="1">
      <alignment horizontal="center" vertical="center"/>
    </xf>
    <xf numFmtId="189" fontId="8" fillId="0" borderId="19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indent="3"/>
    </xf>
    <xf numFmtId="181" fontId="8" fillId="0" borderId="13" xfId="0" applyNumberFormat="1" applyFont="1" applyBorder="1" applyAlignment="1">
      <alignment horizontal="center" vertical="center"/>
    </xf>
    <xf numFmtId="181" fontId="8" fillId="0" borderId="7" xfId="0" applyNumberFormat="1" applyFont="1" applyBorder="1" applyAlignment="1">
      <alignment horizontal="center" vertical="center"/>
    </xf>
    <xf numFmtId="181" fontId="8" fillId="0" borderId="14" xfId="0" applyNumberFormat="1" applyFont="1" applyBorder="1" applyAlignment="1">
      <alignment horizontal="center" vertical="center"/>
    </xf>
    <xf numFmtId="190" fontId="8" fillId="0" borderId="4" xfId="0" applyNumberFormat="1" applyFont="1" applyBorder="1" applyAlignment="1">
      <alignment horizontal="center" vertical="center"/>
    </xf>
    <xf numFmtId="190" fontId="8" fillId="0" borderId="5" xfId="0" applyNumberFormat="1" applyFont="1" applyBorder="1" applyAlignment="1">
      <alignment horizontal="center" vertical="center"/>
    </xf>
    <xf numFmtId="190" fontId="8" fillId="0" borderId="0" xfId="0" applyNumberFormat="1" applyFont="1" applyBorder="1" applyAlignment="1">
      <alignment horizontal="center" vertical="center"/>
    </xf>
    <xf numFmtId="189" fontId="8" fillId="0" borderId="0" xfId="0" applyNumberFormat="1" applyFont="1" applyBorder="1" applyAlignment="1">
      <alignment horizontal="center" vertical="center"/>
    </xf>
    <xf numFmtId="190" fontId="8" fillId="0" borderId="15" xfId="0" applyNumberFormat="1" applyFont="1" applyBorder="1" applyAlignment="1">
      <alignment horizontal="center" vertical="center"/>
    </xf>
    <xf numFmtId="190" fontId="8" fillId="0" borderId="8" xfId="0" applyNumberFormat="1" applyFont="1" applyBorder="1" applyAlignment="1">
      <alignment horizontal="center" vertical="center"/>
    </xf>
    <xf numFmtId="189" fontId="8" fillId="0" borderId="16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 shrinkToFit="1"/>
    </xf>
    <xf numFmtId="0" fontId="8" fillId="2" borderId="30" xfId="0" applyFont="1" applyFill="1" applyBorder="1">
      <alignment vertical="center"/>
    </xf>
    <xf numFmtId="0" fontId="10" fillId="2" borderId="13" xfId="0" applyFont="1" applyFill="1" applyBorder="1" applyAlignment="1">
      <alignment horizontal="center" vertical="center"/>
    </xf>
    <xf numFmtId="176" fontId="10" fillId="2" borderId="7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3" fontId="8" fillId="0" borderId="32" xfId="0" applyNumberFormat="1" applyFont="1" applyBorder="1" applyAlignment="1">
      <alignment horizontal="center" vertical="center"/>
    </xf>
    <xf numFmtId="3" fontId="8" fillId="0" borderId="33" xfId="0" applyNumberFormat="1" applyFont="1" applyBorder="1" applyAlignment="1">
      <alignment horizontal="center" vertical="center"/>
    </xf>
    <xf numFmtId="190" fontId="10" fillId="0" borderId="4" xfId="0" applyNumberFormat="1" applyFont="1" applyBorder="1" applyAlignment="1">
      <alignment horizontal="center" vertical="center"/>
    </xf>
    <xf numFmtId="190" fontId="10" fillId="0" borderId="5" xfId="0" applyNumberFormat="1" applyFont="1" applyBorder="1" applyAlignment="1">
      <alignment horizontal="center" vertical="center"/>
    </xf>
    <xf numFmtId="190" fontId="10" fillId="0" borderId="15" xfId="0" applyNumberFormat="1" applyFont="1" applyBorder="1" applyAlignment="1">
      <alignment horizontal="center" vertical="center"/>
    </xf>
    <xf numFmtId="190" fontId="10" fillId="0" borderId="8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right" vertical="center" shrinkToFit="1"/>
    </xf>
    <xf numFmtId="188" fontId="21" fillId="0" borderId="0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177" fontId="6" fillId="0" borderId="0" xfId="0" applyNumberFormat="1" applyFont="1" applyFill="1" applyAlignment="1">
      <alignment horizontal="center" vertical="center"/>
    </xf>
    <xf numFmtId="190" fontId="8" fillId="0" borderId="16" xfId="0" applyNumberFormat="1" applyFont="1" applyBorder="1" applyAlignment="1">
      <alignment horizontal="center" vertical="center"/>
    </xf>
    <xf numFmtId="192" fontId="8" fillId="0" borderId="4" xfId="0" applyNumberFormat="1" applyFont="1" applyBorder="1" applyAlignment="1">
      <alignment horizontal="center" vertical="center"/>
    </xf>
    <xf numFmtId="192" fontId="8" fillId="0" borderId="5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179" fontId="8" fillId="11" borderId="34" xfId="0" applyNumberFormat="1" applyFont="1" applyFill="1" applyBorder="1" applyAlignment="1">
      <alignment horizontal="center" vertical="center"/>
    </xf>
    <xf numFmtId="194" fontId="0" fillId="11" borderId="21" xfId="0" applyNumberFormat="1" applyFill="1" applyBorder="1" applyAlignment="1">
      <alignment horizontal="center" vertical="center" shrinkToFit="1"/>
    </xf>
    <xf numFmtId="179" fontId="8" fillId="11" borderId="8" xfId="0" applyNumberFormat="1" applyFont="1" applyFill="1" applyBorder="1" applyAlignment="1">
      <alignment horizontal="center" vertical="center"/>
    </xf>
    <xf numFmtId="193" fontId="0" fillId="11" borderId="16" xfId="0" applyNumberFormat="1" applyFill="1" applyBorder="1" applyAlignment="1">
      <alignment horizontal="center" vertical="center" shrinkToFit="1"/>
    </xf>
    <xf numFmtId="9" fontId="0" fillId="0" borderId="0" xfId="0" applyNumberFormat="1">
      <alignment vertical="center"/>
    </xf>
    <xf numFmtId="0" fontId="0" fillId="0" borderId="35" xfId="0" applyBorder="1">
      <alignment vertical="center"/>
    </xf>
    <xf numFmtId="0" fontId="8" fillId="7" borderId="6" xfId="0" applyFont="1" applyFill="1" applyBorder="1" applyAlignment="1">
      <alignment horizontal="center" vertical="center"/>
    </xf>
    <xf numFmtId="196" fontId="25" fillId="0" borderId="19" xfId="0" applyNumberFormat="1" applyFont="1" applyBorder="1" applyAlignment="1">
      <alignment horizontal="center" vertical="center"/>
    </xf>
    <xf numFmtId="9" fontId="8" fillId="2" borderId="16" xfId="0" applyNumberFormat="1" applyFont="1" applyFill="1" applyBorder="1" applyAlignment="1">
      <alignment horizontal="center" vertical="center" wrapText="1"/>
    </xf>
    <xf numFmtId="186" fontId="8" fillId="0" borderId="16" xfId="0" applyNumberFormat="1" applyFont="1" applyBorder="1" applyAlignment="1">
      <alignment horizontal="center" vertical="center"/>
    </xf>
    <xf numFmtId="0" fontId="8" fillId="2" borderId="0" xfId="0" applyFont="1" applyFill="1" applyBorder="1">
      <alignment vertical="center"/>
    </xf>
    <xf numFmtId="3" fontId="8" fillId="0" borderId="0" xfId="0" applyNumberFormat="1" applyFont="1">
      <alignment vertical="center"/>
    </xf>
    <xf numFmtId="0" fontId="23" fillId="12" borderId="0" xfId="0" applyFont="1" applyFill="1" applyBorder="1" applyAlignment="1">
      <alignment horizontal="centerContinuous" vertical="center"/>
    </xf>
    <xf numFmtId="0" fontId="24" fillId="12" borderId="0" xfId="0" applyFont="1" applyFill="1" applyBorder="1" applyAlignment="1">
      <alignment horizontal="centerContinuous" vertical="center"/>
    </xf>
    <xf numFmtId="182" fontId="26" fillId="0" borderId="38" xfId="0" applyNumberFormat="1" applyFont="1" applyBorder="1" applyAlignment="1">
      <alignment horizontal="centerContinuous" vertical="center"/>
    </xf>
    <xf numFmtId="0" fontId="26" fillId="0" borderId="38" xfId="0" applyFont="1" applyBorder="1" applyAlignment="1">
      <alignment horizontal="centerContinuous" vertical="center"/>
    </xf>
    <xf numFmtId="182" fontId="26" fillId="0" borderId="12" xfId="0" applyNumberFormat="1" applyFont="1" applyBorder="1" applyAlignment="1">
      <alignment horizontal="centerContinuous" vertical="center"/>
    </xf>
    <xf numFmtId="176" fontId="14" fillId="13" borderId="27" xfId="0" applyNumberFormat="1" applyFont="1" applyFill="1" applyBorder="1" applyAlignment="1">
      <alignment horizontal="centerContinuous" vertical="center" wrapText="1"/>
    </xf>
    <xf numFmtId="176" fontId="14" fillId="13" borderId="28" xfId="0" applyNumberFormat="1" applyFont="1" applyFill="1" applyBorder="1" applyAlignment="1">
      <alignment horizontal="centerContinuous" vertical="center" wrapText="1"/>
    </xf>
    <xf numFmtId="182" fontId="14" fillId="13" borderId="27" xfId="0" applyNumberFormat="1" applyFont="1" applyFill="1" applyBorder="1" applyAlignment="1">
      <alignment horizontal="center" vertical="center"/>
    </xf>
    <xf numFmtId="182" fontId="4" fillId="13" borderId="7" xfId="0" applyNumberFormat="1" applyFont="1" applyFill="1" applyBorder="1" applyAlignment="1">
      <alignment horizontal="center" vertical="center"/>
    </xf>
    <xf numFmtId="182" fontId="4" fillId="13" borderId="14" xfId="0" applyNumberFormat="1" applyFont="1" applyFill="1" applyBorder="1" applyAlignment="1">
      <alignment horizontal="center" vertical="center"/>
    </xf>
    <xf numFmtId="0" fontId="22" fillId="3" borderId="38" xfId="0" applyFont="1" applyFill="1" applyBorder="1" applyAlignment="1">
      <alignment horizontal="centerContinuous" vertical="center"/>
    </xf>
    <xf numFmtId="0" fontId="22" fillId="3" borderId="12" xfId="0" applyFont="1" applyFill="1" applyBorder="1" applyAlignment="1">
      <alignment horizontal="centerContinuous" vertical="center"/>
    </xf>
    <xf numFmtId="0" fontId="8" fillId="0" borderId="38" xfId="0" applyFont="1" applyBorder="1" applyAlignment="1">
      <alignment horizontal="center" vertical="center" wrapText="1"/>
    </xf>
    <xf numFmtId="200" fontId="8" fillId="0" borderId="38" xfId="0" applyNumberFormat="1" applyFont="1" applyBorder="1" applyAlignment="1">
      <alignment horizontal="center" vertical="center"/>
    </xf>
    <xf numFmtId="199" fontId="8" fillId="0" borderId="11" xfId="0" applyNumberFormat="1" applyFont="1" applyBorder="1" applyAlignment="1">
      <alignment horizontal="center" vertical="center"/>
    </xf>
    <xf numFmtId="183" fontId="8" fillId="0" borderId="16" xfId="0" applyNumberFormat="1" applyFont="1" applyBorder="1" applyAlignment="1">
      <alignment horizontal="center" vertical="center"/>
    </xf>
    <xf numFmtId="200" fontId="8" fillId="0" borderId="15" xfId="0" applyNumberFormat="1" applyFont="1" applyBorder="1" applyAlignment="1">
      <alignment horizontal="center" vertical="center"/>
    </xf>
    <xf numFmtId="199" fontId="8" fillId="0" borderId="11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Continuous" vertical="center"/>
    </xf>
    <xf numFmtId="201" fontId="22" fillId="2" borderId="7" xfId="0" applyNumberFormat="1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11" borderId="30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11" borderId="35" xfId="0" applyFont="1" applyFill="1" applyBorder="1" applyAlignment="1">
      <alignment horizontal="center" vertical="center" wrapText="1"/>
    </xf>
    <xf numFmtId="201" fontId="22" fillId="2" borderId="13" xfId="0" applyNumberFormat="1" applyFont="1" applyFill="1" applyBorder="1" applyAlignment="1">
      <alignment horizontal="center" vertical="center"/>
    </xf>
    <xf numFmtId="183" fontId="8" fillId="2" borderId="4" xfId="0" applyNumberFormat="1" applyFont="1" applyFill="1" applyBorder="1" applyAlignment="1">
      <alignment horizontal="center" vertical="center"/>
    </xf>
    <xf numFmtId="176" fontId="8" fillId="2" borderId="4" xfId="0" applyNumberFormat="1" applyFont="1" applyFill="1" applyBorder="1" applyAlignment="1">
      <alignment horizontal="center" vertical="center"/>
    </xf>
    <xf numFmtId="3" fontId="8" fillId="0" borderId="41" xfId="0" applyNumberFormat="1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179" fontId="8" fillId="11" borderId="20" xfId="0" applyNumberFormat="1" applyFont="1" applyFill="1" applyBorder="1" applyAlignment="1">
      <alignment horizontal="center" vertical="center"/>
    </xf>
    <xf numFmtId="179" fontId="8" fillId="11" borderId="15" xfId="0" applyNumberFormat="1" applyFont="1" applyFill="1" applyBorder="1" applyAlignment="1">
      <alignment horizontal="center" vertical="center"/>
    </xf>
    <xf numFmtId="201" fontId="22" fillId="2" borderId="42" xfId="0" applyNumberFormat="1" applyFont="1" applyFill="1" applyBorder="1" applyAlignment="1">
      <alignment horizontal="center" vertical="center"/>
    </xf>
    <xf numFmtId="183" fontId="8" fillId="2" borderId="43" xfId="0" applyNumberFormat="1" applyFont="1" applyFill="1" applyBorder="1" applyAlignment="1">
      <alignment horizontal="center" vertical="center"/>
    </xf>
    <xf numFmtId="176" fontId="8" fillId="2" borderId="43" xfId="0" applyNumberFormat="1" applyFont="1" applyFill="1" applyBorder="1" applyAlignment="1">
      <alignment horizontal="center" vertical="center"/>
    </xf>
    <xf numFmtId="3" fontId="8" fillId="0" borderId="44" xfId="0" applyNumberFormat="1" applyFont="1" applyBorder="1" applyAlignment="1">
      <alignment horizontal="center" vertical="center"/>
    </xf>
    <xf numFmtId="3" fontId="8" fillId="0" borderId="43" xfId="0" applyNumberFormat="1" applyFont="1" applyBorder="1" applyAlignment="1">
      <alignment horizontal="center" vertical="center"/>
    </xf>
    <xf numFmtId="3" fontId="8" fillId="0" borderId="45" xfId="0" applyNumberFormat="1" applyFont="1" applyBorder="1" applyAlignment="1">
      <alignment horizontal="center" vertical="center"/>
    </xf>
    <xf numFmtId="179" fontId="8" fillId="11" borderId="46" xfId="0" applyNumberFormat="1" applyFont="1" applyFill="1" applyBorder="1" applyAlignment="1">
      <alignment horizontal="center" vertical="center"/>
    </xf>
    <xf numFmtId="179" fontId="8" fillId="11" borderId="47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1" fillId="6" borderId="0" xfId="0" applyFont="1" applyFill="1" applyBorder="1" applyAlignment="1">
      <alignment horizontal="centerContinuous" vertical="center"/>
    </xf>
    <xf numFmtId="182" fontId="27" fillId="0" borderId="1" xfId="0" applyNumberFormat="1" applyFont="1" applyBorder="1" applyAlignment="1">
      <alignment horizontal="centerContinuous" vertical="center"/>
    </xf>
    <xf numFmtId="0" fontId="27" fillId="0" borderId="1" xfId="0" applyFont="1" applyBorder="1" applyAlignment="1">
      <alignment horizontal="centerContinuous" vertical="center"/>
    </xf>
    <xf numFmtId="182" fontId="28" fillId="0" borderId="1" xfId="0" applyNumberFormat="1" applyFont="1" applyBorder="1" applyAlignment="1">
      <alignment horizontal="centerContinuous" vertical="center"/>
    </xf>
    <xf numFmtId="3" fontId="27" fillId="0" borderId="1" xfId="0" applyNumberFormat="1" applyFont="1" applyBorder="1" applyAlignment="1">
      <alignment horizontal="centerContinuous" vertical="center"/>
    </xf>
    <xf numFmtId="204" fontId="27" fillId="0" borderId="1" xfId="0" applyNumberFormat="1" applyFont="1" applyBorder="1" applyAlignment="1">
      <alignment horizontal="centerContinuous" vertical="center"/>
    </xf>
    <xf numFmtId="3" fontId="27" fillId="16" borderId="36" xfId="0" applyNumberFormat="1" applyFont="1" applyFill="1" applyBorder="1" applyAlignment="1">
      <alignment horizontal="center" vertical="center"/>
    </xf>
    <xf numFmtId="3" fontId="27" fillId="16" borderId="48" xfId="0" applyNumberFormat="1" applyFont="1" applyFill="1" applyBorder="1" applyAlignment="1">
      <alignment horizontal="centerContinuous" vertical="center"/>
    </xf>
    <xf numFmtId="0" fontId="28" fillId="0" borderId="1" xfId="0" applyFont="1" applyBorder="1" applyAlignment="1">
      <alignment horizontal="centerContinuous" vertical="center"/>
    </xf>
    <xf numFmtId="0" fontId="8" fillId="0" borderId="1" xfId="0" applyFont="1" applyBorder="1" applyAlignment="1">
      <alignment horizontal="centerContinuous" vertical="center" wrapText="1"/>
    </xf>
    <xf numFmtId="0" fontId="27" fillId="3" borderId="40" xfId="0" applyFont="1" applyFill="1" applyBorder="1">
      <alignment vertical="center"/>
    </xf>
    <xf numFmtId="195" fontId="8" fillId="3" borderId="1" xfId="0" applyNumberFormat="1" applyFont="1" applyFill="1" applyBorder="1" applyAlignment="1">
      <alignment horizontal="center" vertical="center"/>
    </xf>
    <xf numFmtId="3" fontId="27" fillId="16" borderId="48" xfId="0" applyNumberFormat="1" applyFont="1" applyFill="1" applyBorder="1" applyAlignment="1">
      <alignment horizontal="center" vertical="center"/>
    </xf>
    <xf numFmtId="206" fontId="8" fillId="0" borderId="1" xfId="0" applyNumberFormat="1" applyFont="1" applyBorder="1" applyAlignment="1">
      <alignment horizontal="center" vertical="center"/>
    </xf>
    <xf numFmtId="205" fontId="8" fillId="0" borderId="3" xfId="0" applyNumberFormat="1" applyFont="1" applyBorder="1" applyAlignment="1">
      <alignment horizontal="center" vertical="center"/>
    </xf>
    <xf numFmtId="205" fontId="8" fillId="0" borderId="3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05" fontId="8" fillId="0" borderId="37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205" fontId="8" fillId="0" borderId="2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205" fontId="8" fillId="0" borderId="5" xfId="0" applyNumberFormat="1" applyFont="1" applyBorder="1" applyAlignment="1">
      <alignment horizontal="center" vertical="center"/>
    </xf>
    <xf numFmtId="205" fontId="8" fillId="0" borderId="19" xfId="0" applyNumberFormat="1" applyFont="1" applyBorder="1" applyAlignment="1">
      <alignment horizontal="center" vertical="center"/>
    </xf>
    <xf numFmtId="205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Fill="1" applyBorder="1" applyAlignment="1">
      <alignment horizontal="center" vertical="center"/>
    </xf>
    <xf numFmtId="208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Continuous" vertical="center"/>
    </xf>
    <xf numFmtId="0" fontId="1" fillId="0" borderId="34" xfId="0" applyFont="1" applyBorder="1" applyAlignment="1">
      <alignment horizontal="centerContinuous" vertical="center"/>
    </xf>
    <xf numFmtId="0" fontId="1" fillId="2" borderId="36" xfId="0" applyFont="1" applyFill="1" applyBorder="1">
      <alignment vertical="center"/>
    </xf>
    <xf numFmtId="205" fontId="1" fillId="0" borderId="36" xfId="0" applyNumberFormat="1" applyFont="1" applyBorder="1" applyAlignment="1">
      <alignment horizontal="center" vertical="center"/>
    </xf>
    <xf numFmtId="205" fontId="1" fillId="0" borderId="49" xfId="0" applyNumberFormat="1" applyFont="1" applyBorder="1" applyAlignment="1">
      <alignment horizontal="center" vertical="center"/>
    </xf>
    <xf numFmtId="9" fontId="1" fillId="2" borderId="49" xfId="0" applyNumberFormat="1" applyFont="1" applyFill="1" applyBorder="1" applyAlignment="1">
      <alignment horizontal="center" vertical="center"/>
    </xf>
    <xf numFmtId="208" fontId="1" fillId="0" borderId="36" xfId="0" applyNumberFormat="1" applyFont="1" applyFill="1" applyBorder="1" applyAlignment="1">
      <alignment horizontal="left" vertical="center"/>
    </xf>
    <xf numFmtId="208" fontId="1" fillId="0" borderId="48" xfId="0" applyNumberFormat="1" applyFont="1" applyFill="1" applyBorder="1" applyAlignment="1">
      <alignment horizontal="left" vertical="center"/>
    </xf>
    <xf numFmtId="0" fontId="27" fillId="2" borderId="9" xfId="0" applyFont="1" applyFill="1" applyBorder="1" applyAlignment="1">
      <alignment horizontal="centerContinuous" vertical="center"/>
    </xf>
    <xf numFmtId="0" fontId="27" fillId="0" borderId="10" xfId="0" applyFont="1" applyBorder="1" applyAlignment="1">
      <alignment horizontal="centerContinuous" vertical="center" wrapText="1"/>
    </xf>
    <xf numFmtId="179" fontId="27" fillId="0" borderId="10" xfId="0" applyNumberFormat="1" applyFont="1" applyBorder="1" applyAlignment="1">
      <alignment horizontal="center" vertical="center"/>
    </xf>
    <xf numFmtId="203" fontId="27" fillId="0" borderId="10" xfId="0" applyNumberFormat="1" applyFont="1" applyBorder="1" applyAlignment="1">
      <alignment horizontal="center" vertical="center"/>
    </xf>
    <xf numFmtId="0" fontId="29" fillId="0" borderId="0" xfId="0" applyFont="1" applyBorder="1">
      <alignment vertical="center"/>
    </xf>
    <xf numFmtId="0" fontId="27" fillId="0" borderId="22" xfId="0" applyFont="1" applyBorder="1" applyAlignment="1">
      <alignment horizontal="centerContinuous" vertical="center"/>
    </xf>
    <xf numFmtId="0" fontId="27" fillId="0" borderId="23" xfId="0" applyFont="1" applyBorder="1" applyAlignment="1">
      <alignment horizontal="centerContinuous" vertical="center" wrapText="1"/>
    </xf>
    <xf numFmtId="203" fontId="27" fillId="0" borderId="24" xfId="0" applyNumberFormat="1" applyFont="1" applyBorder="1" applyAlignment="1">
      <alignment horizontal="center" vertical="center"/>
    </xf>
    <xf numFmtId="182" fontId="28" fillId="0" borderId="36" xfId="0" applyNumberFormat="1" applyFont="1" applyBorder="1" applyAlignment="1">
      <alignment horizontal="centerContinuous" vertical="center"/>
    </xf>
    <xf numFmtId="3" fontId="28" fillId="0" borderId="36" xfId="0" applyNumberFormat="1" applyFont="1" applyBorder="1" applyAlignment="1">
      <alignment horizontal="centerContinuous" vertical="center"/>
    </xf>
    <xf numFmtId="0" fontId="30" fillId="0" borderId="0" xfId="0" applyFont="1" applyBorder="1">
      <alignment vertical="center"/>
    </xf>
    <xf numFmtId="0" fontId="32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4" xfId="0" applyBorder="1">
      <alignment vertical="center"/>
    </xf>
    <xf numFmtId="0" fontId="0" fillId="0" borderId="0" xfId="0" applyBorder="1" applyAlignment="1">
      <alignment horizontal="center"/>
    </xf>
    <xf numFmtId="0" fontId="1" fillId="0" borderId="22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209" fontId="1" fillId="0" borderId="36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Continuous" vertical="center"/>
    </xf>
    <xf numFmtId="0" fontId="0" fillId="0" borderId="0" xfId="0" applyBorder="1" applyAlignment="1">
      <alignment horizontal="right"/>
    </xf>
    <xf numFmtId="0" fontId="8" fillId="0" borderId="13" xfId="0" applyFont="1" applyBorder="1" applyAlignment="1">
      <alignment horizontal="centerContinuous" vertical="center"/>
    </xf>
    <xf numFmtId="0" fontId="8" fillId="0" borderId="9" xfId="0" applyFont="1" applyBorder="1" applyAlignment="1">
      <alignment horizontal="centerContinuous" vertical="center"/>
    </xf>
    <xf numFmtId="205" fontId="8" fillId="0" borderId="9" xfId="0" applyNumberFormat="1" applyFont="1" applyBorder="1" applyAlignment="1">
      <alignment horizontal="center" vertical="center"/>
    </xf>
    <xf numFmtId="205" fontId="8" fillId="0" borderId="18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Continuous" vertical="center" wrapText="1"/>
    </xf>
    <xf numFmtId="206" fontId="8" fillId="0" borderId="10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Continuous" vertical="center"/>
    </xf>
    <xf numFmtId="0" fontId="1" fillId="2" borderId="10" xfId="0" applyFont="1" applyFill="1" applyBorder="1">
      <alignment vertical="center"/>
    </xf>
    <xf numFmtId="0" fontId="1" fillId="2" borderId="24" xfId="0" applyFont="1" applyFill="1" applyBorder="1">
      <alignment vertical="center"/>
    </xf>
    <xf numFmtId="9" fontId="1" fillId="2" borderId="50" xfId="0" applyNumberFormat="1" applyFont="1" applyFill="1" applyBorder="1" applyAlignment="1">
      <alignment horizontal="center" vertical="center"/>
    </xf>
    <xf numFmtId="9" fontId="1" fillId="2" borderId="10" xfId="0" applyNumberFormat="1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Continuous" vertical="center"/>
    </xf>
    <xf numFmtId="0" fontId="1" fillId="0" borderId="10" xfId="0" applyFont="1" applyBorder="1" applyAlignment="1">
      <alignment horizontal="centerContinuous" vertical="center"/>
    </xf>
    <xf numFmtId="205" fontId="1" fillId="0" borderId="10" xfId="0" applyNumberFormat="1" applyFont="1" applyBorder="1" applyAlignment="1">
      <alignment horizontal="center" vertical="center"/>
    </xf>
    <xf numFmtId="182" fontId="1" fillId="0" borderId="10" xfId="0" applyNumberFormat="1" applyFont="1" applyFill="1" applyBorder="1" applyAlignment="1">
      <alignment horizontal="center" vertical="center"/>
    </xf>
    <xf numFmtId="208" fontId="1" fillId="0" borderId="10" xfId="0" applyNumberFormat="1" applyFont="1" applyFill="1" applyBorder="1" applyAlignment="1">
      <alignment horizontal="center" vertical="center"/>
    </xf>
    <xf numFmtId="208" fontId="1" fillId="0" borderId="24" xfId="0" applyNumberFormat="1" applyFont="1" applyFill="1" applyBorder="1" applyAlignment="1">
      <alignment horizontal="left" vertical="center"/>
    </xf>
    <xf numFmtId="208" fontId="1" fillId="0" borderId="26" xfId="0" applyNumberFormat="1" applyFont="1" applyFill="1" applyBorder="1" applyAlignment="1">
      <alignment horizontal="left" vertical="center"/>
    </xf>
    <xf numFmtId="205" fontId="1" fillId="0" borderId="34" xfId="0" applyNumberFormat="1" applyFont="1" applyBorder="1" applyAlignment="1">
      <alignment horizontal="center" vertical="center"/>
    </xf>
    <xf numFmtId="182" fontId="1" fillId="0" borderId="34" xfId="0" applyNumberFormat="1" applyFont="1" applyFill="1" applyBorder="1" applyAlignment="1">
      <alignment horizontal="center" vertical="center"/>
    </xf>
    <xf numFmtId="208" fontId="1" fillId="0" borderId="34" xfId="0" applyNumberFormat="1" applyFont="1" applyFill="1" applyBorder="1" applyAlignment="1">
      <alignment horizontal="center" vertical="center"/>
    </xf>
    <xf numFmtId="208" fontId="1" fillId="0" borderId="21" xfId="0" applyNumberFormat="1" applyFont="1" applyFill="1" applyBorder="1" applyAlignment="1">
      <alignment horizontal="left" vertical="center"/>
    </xf>
    <xf numFmtId="208" fontId="1" fillId="0" borderId="30" xfId="0" applyNumberFormat="1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Continuous" vertical="center"/>
    </xf>
    <xf numFmtId="205" fontId="1" fillId="2" borderId="34" xfId="0" applyNumberFormat="1" applyFont="1" applyFill="1" applyBorder="1" applyAlignment="1">
      <alignment horizontal="center" vertical="center"/>
    </xf>
    <xf numFmtId="205" fontId="1" fillId="2" borderId="21" xfId="0" applyNumberFormat="1" applyFont="1" applyFill="1" applyBorder="1" applyAlignment="1">
      <alignment horizontal="center" vertical="center"/>
    </xf>
    <xf numFmtId="205" fontId="1" fillId="0" borderId="51" xfId="0" applyNumberFormat="1" applyFont="1" applyBorder="1" applyAlignment="1">
      <alignment horizontal="center" vertical="center"/>
    </xf>
    <xf numFmtId="209" fontId="1" fillId="0" borderId="21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Continuous" vertical="center"/>
    </xf>
    <xf numFmtId="204" fontId="27" fillId="0" borderId="0" xfId="0" applyNumberFormat="1" applyFont="1" applyBorder="1" applyAlignment="1">
      <alignment horizontal="centerContinuous" vertical="center"/>
    </xf>
    <xf numFmtId="3" fontId="27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horizontal="centerContinuous" vertical="center"/>
    </xf>
    <xf numFmtId="0" fontId="1" fillId="2" borderId="11" xfId="0" applyFont="1" applyFill="1" applyBorder="1" applyAlignment="1">
      <alignment horizontal="centerContinuous" vertical="center"/>
    </xf>
    <xf numFmtId="0" fontId="1" fillId="2" borderId="6" xfId="0" applyFont="1" applyFill="1" applyBorder="1" applyAlignment="1">
      <alignment horizontal="centerContinuous" vertical="center"/>
    </xf>
    <xf numFmtId="195" fontId="1" fillId="2" borderId="6" xfId="0" applyNumberFormat="1" applyFont="1" applyFill="1" applyBorder="1" applyAlignment="1">
      <alignment horizontal="center" vertical="center"/>
    </xf>
    <xf numFmtId="195" fontId="1" fillId="2" borderId="12" xfId="0" applyNumberFormat="1" applyFont="1" applyFill="1" applyBorder="1" applyAlignment="1">
      <alignment horizontal="center" vertical="center"/>
    </xf>
    <xf numFmtId="195" fontId="1" fillId="2" borderId="52" xfId="0" applyNumberFormat="1" applyFont="1" applyFill="1" applyBorder="1" applyAlignment="1">
      <alignment horizontal="center" vertical="center"/>
    </xf>
    <xf numFmtId="195" fontId="1" fillId="2" borderId="12" xfId="0" applyNumberFormat="1" applyFont="1" applyFill="1" applyBorder="1" applyAlignment="1">
      <alignment horizontal="center" vertical="center" wrapText="1"/>
    </xf>
    <xf numFmtId="207" fontId="1" fillId="2" borderId="6" xfId="0" applyNumberFormat="1" applyFont="1" applyFill="1" applyBorder="1" applyAlignment="1">
      <alignment horizontal="center" vertical="center" wrapText="1"/>
    </xf>
    <xf numFmtId="207" fontId="1" fillId="2" borderId="6" xfId="0" applyNumberFormat="1" applyFont="1" applyFill="1" applyBorder="1" applyAlignment="1">
      <alignment horizontal="centerContinuous" vertical="center" wrapText="1"/>
    </xf>
    <xf numFmtId="207" fontId="1" fillId="2" borderId="12" xfId="0" applyNumberFormat="1" applyFont="1" applyFill="1" applyBorder="1" applyAlignment="1">
      <alignment horizontal="centerContinuous" vertical="center" wrapText="1"/>
    </xf>
    <xf numFmtId="0" fontId="8" fillId="2" borderId="11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/>
    </xf>
    <xf numFmtId="195" fontId="8" fillId="2" borderId="6" xfId="0" applyNumberFormat="1" applyFont="1" applyFill="1" applyBorder="1" applyAlignment="1">
      <alignment horizontal="center" vertical="center"/>
    </xf>
    <xf numFmtId="195" fontId="8" fillId="2" borderId="12" xfId="0" applyNumberFormat="1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Continuous" vertical="center"/>
    </xf>
    <xf numFmtId="0" fontId="33" fillId="6" borderId="0" xfId="0" applyFont="1" applyFill="1" applyBorder="1" applyAlignment="1">
      <alignment horizontal="centerContinuous" vertical="center"/>
    </xf>
    <xf numFmtId="0" fontId="27" fillId="0" borderId="20" xfId="0" applyFont="1" applyBorder="1" applyAlignment="1">
      <alignment horizontal="centerContinuous" vertical="center"/>
    </xf>
    <xf numFmtId="0" fontId="27" fillId="0" borderId="34" xfId="0" applyFont="1" applyBorder="1" applyAlignment="1">
      <alignment horizontal="centerContinuous" vertical="center"/>
    </xf>
    <xf numFmtId="0" fontId="27" fillId="0" borderId="34" xfId="0" applyFont="1" applyBorder="1" applyAlignment="1">
      <alignment horizontal="center" vertical="center"/>
    </xf>
    <xf numFmtId="3" fontId="27" fillId="0" borderId="34" xfId="0" applyNumberFormat="1" applyFont="1" applyBorder="1" applyAlignment="1">
      <alignment horizontal="center" vertical="center"/>
    </xf>
    <xf numFmtId="185" fontId="27" fillId="0" borderId="34" xfId="0" applyNumberFormat="1" applyFont="1" applyBorder="1" applyAlignment="1">
      <alignment horizontal="center" vertical="center"/>
    </xf>
    <xf numFmtId="185" fontId="27" fillId="0" borderId="21" xfId="0" applyNumberFormat="1" applyFont="1" applyBorder="1" applyAlignment="1">
      <alignment horizontal="center" vertical="center"/>
    </xf>
    <xf numFmtId="0" fontId="27" fillId="2" borderId="10" xfId="0" applyFont="1" applyFill="1" applyBorder="1" applyAlignment="1">
      <alignment horizontal="centerContinuous" vertical="center"/>
    </xf>
    <xf numFmtId="0" fontId="27" fillId="2" borderId="10" xfId="0" applyFont="1" applyFill="1" applyBorder="1" applyAlignment="1">
      <alignment horizontal="centerContinuous" vertical="center" wrapText="1"/>
    </xf>
    <xf numFmtId="205" fontId="8" fillId="2" borderId="9" xfId="0" applyNumberFormat="1" applyFont="1" applyFill="1" applyBorder="1" applyAlignment="1">
      <alignment horizontal="center" vertical="center"/>
    </xf>
    <xf numFmtId="205" fontId="8" fillId="2" borderId="1" xfId="0" applyNumberFormat="1" applyFont="1" applyFill="1" applyBorder="1" applyAlignment="1">
      <alignment horizontal="center" vertical="center"/>
    </xf>
    <xf numFmtId="3" fontId="8" fillId="2" borderId="10" xfId="0" applyNumberFormat="1" applyFont="1" applyFill="1" applyBorder="1" applyAlignment="1">
      <alignment horizontal="center" vertical="center"/>
    </xf>
    <xf numFmtId="205" fontId="8" fillId="2" borderId="5" xfId="0" applyNumberFormat="1" applyFont="1" applyFill="1" applyBorder="1" applyAlignment="1">
      <alignment horizontal="center" vertical="center"/>
    </xf>
    <xf numFmtId="205" fontId="8" fillId="2" borderId="34" xfId="0" applyNumberFormat="1" applyFont="1" applyFill="1" applyBorder="1" applyAlignment="1">
      <alignment horizontal="center" vertical="center"/>
    </xf>
    <xf numFmtId="205" fontId="8" fillId="2" borderId="3" xfId="0" applyNumberFormat="1" applyFont="1" applyFill="1" applyBorder="1" applyAlignment="1">
      <alignment horizontal="center" vertical="center"/>
    </xf>
    <xf numFmtId="179" fontId="27" fillId="2" borderId="10" xfId="0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center"/>
    </xf>
    <xf numFmtId="0" fontId="36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Continuous" vertical="center" wrapText="1"/>
    </xf>
    <xf numFmtId="9" fontId="3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Continuous" vertical="center" wrapText="1"/>
    </xf>
    <xf numFmtId="9" fontId="3" fillId="0" borderId="10" xfId="0" applyNumberFormat="1" applyFont="1" applyBorder="1" applyAlignment="1">
      <alignment horizontal="center" vertical="center"/>
    </xf>
    <xf numFmtId="9" fontId="3" fillId="0" borderId="36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05" fontId="8" fillId="0" borderId="10" xfId="0" applyNumberFormat="1" applyFont="1" applyBorder="1" applyAlignment="1">
      <alignment horizontal="center" vertical="center"/>
    </xf>
    <xf numFmtId="205" fontId="8" fillId="2" borderId="10" xfId="0" applyNumberFormat="1" applyFont="1" applyFill="1" applyBorder="1" applyAlignment="1">
      <alignment horizontal="center" vertical="center"/>
    </xf>
    <xf numFmtId="205" fontId="8" fillId="0" borderId="24" xfId="0" applyNumberFormat="1" applyFont="1" applyBorder="1" applyAlignment="1">
      <alignment horizontal="center" vertical="center"/>
    </xf>
    <xf numFmtId="210" fontId="1" fillId="2" borderId="6" xfId="0" applyNumberFormat="1" applyFont="1" applyFill="1" applyBorder="1" applyAlignment="1">
      <alignment horizontal="center" vertical="center"/>
    </xf>
    <xf numFmtId="205" fontId="1" fillId="0" borderId="21" xfId="0" applyNumberFormat="1" applyFont="1" applyBorder="1" applyAlignment="1">
      <alignment horizontal="center" vertical="center"/>
    </xf>
    <xf numFmtId="9" fontId="3" fillId="0" borderId="49" xfId="0" applyNumberFormat="1" applyFont="1" applyBorder="1" applyAlignment="1">
      <alignment horizontal="center" vertical="center"/>
    </xf>
    <xf numFmtId="205" fontId="1" fillId="2" borderId="49" xfId="0" applyNumberFormat="1" applyFont="1" applyFill="1" applyBorder="1" applyAlignment="1">
      <alignment horizontal="center" vertical="center"/>
    </xf>
    <xf numFmtId="9" fontId="3" fillId="0" borderId="50" xfId="0" applyNumberFormat="1" applyFont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9" fontId="3" fillId="11" borderId="36" xfId="0" applyNumberFormat="1" applyFont="1" applyFill="1" applyBorder="1" applyAlignment="1">
      <alignment horizontal="center" vertical="center"/>
    </xf>
    <xf numFmtId="9" fontId="3" fillId="0" borderId="24" xfId="0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Continuous" vertical="center"/>
    </xf>
    <xf numFmtId="0" fontId="27" fillId="0" borderId="6" xfId="0" applyFont="1" applyBorder="1" applyAlignment="1">
      <alignment horizontal="centerContinuous" vertical="center"/>
    </xf>
    <xf numFmtId="0" fontId="27" fillId="0" borderId="6" xfId="0" applyFont="1" applyBorder="1" applyAlignment="1">
      <alignment horizontal="center" vertical="center"/>
    </xf>
    <xf numFmtId="3" fontId="27" fillId="0" borderId="6" xfId="0" applyNumberFormat="1" applyFont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3" fontId="27" fillId="2" borderId="6" xfId="0" applyNumberFormat="1" applyFont="1" applyFill="1" applyBorder="1" applyAlignment="1">
      <alignment horizontal="center" vertical="center"/>
    </xf>
    <xf numFmtId="185" fontId="27" fillId="0" borderId="6" xfId="0" applyNumberFormat="1" applyFont="1" applyBorder="1" applyAlignment="1">
      <alignment horizontal="center" vertical="center"/>
    </xf>
    <xf numFmtId="211" fontId="1" fillId="2" borderId="36" xfId="0" applyNumberFormat="1" applyFont="1" applyFill="1" applyBorder="1" applyAlignment="1">
      <alignment horizontal="center" vertical="top" shrinkToFit="1"/>
    </xf>
    <xf numFmtId="211" fontId="1" fillId="2" borderId="24" xfId="0" applyNumberFormat="1" applyFont="1" applyFill="1" applyBorder="1" applyAlignment="1">
      <alignment horizontal="center" vertical="top" shrinkToFit="1"/>
    </xf>
    <xf numFmtId="202" fontId="27" fillId="0" borderId="1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center" vertical="center"/>
    </xf>
    <xf numFmtId="9" fontId="1" fillId="0" borderId="0" xfId="0" applyNumberFormat="1" applyFont="1">
      <alignment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/>
    </xf>
    <xf numFmtId="185" fontId="17" fillId="4" borderId="14" xfId="0" applyNumberFormat="1" applyFont="1" applyFill="1" applyBorder="1" applyAlignment="1">
      <alignment horizontal="center" vertical="center"/>
    </xf>
    <xf numFmtId="185" fontId="17" fillId="4" borderId="19" xfId="0" applyNumberFormat="1" applyFont="1" applyFill="1" applyBorder="1" applyAlignment="1">
      <alignment horizontal="center" vertical="center"/>
    </xf>
    <xf numFmtId="185" fontId="17" fillId="4" borderId="16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197" fontId="15" fillId="0" borderId="0" xfId="0" applyNumberFormat="1" applyFont="1" applyBorder="1" applyAlignment="1">
      <alignment horizontal="left" vertical="center"/>
    </xf>
    <xf numFmtId="198" fontId="15" fillId="0" borderId="0" xfId="0" applyNumberFormat="1" applyFont="1" applyBorder="1" applyAlignment="1">
      <alignment horizontal="left" vertical="center"/>
    </xf>
    <xf numFmtId="191" fontId="15" fillId="0" borderId="0" xfId="0" applyNumberFormat="1" applyFont="1" applyBorder="1" applyAlignment="1">
      <alignment horizontal="left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35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31" fillId="14" borderId="40" xfId="0" applyFont="1" applyFill="1" applyBorder="1" applyAlignment="1">
      <alignment horizontal="center" vertical="center" wrapText="1"/>
    </xf>
    <xf numFmtId="0" fontId="27" fillId="3" borderId="40" xfId="0" applyFont="1" applyFill="1" applyBorder="1" applyAlignment="1">
      <alignment horizontal="center" vertical="center"/>
    </xf>
    <xf numFmtId="0" fontId="31" fillId="15" borderId="40" xfId="0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horizontal="center" vertical="center" wrapText="1"/>
    </xf>
  </cellXfs>
  <cellStyles count="1">
    <cellStyle name="표준" xfId="0" builtinId="0"/>
  </cellStyles>
  <dxfs count="26"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  <dxf>
      <font>
        <b/>
        <i val="0"/>
        <u/>
      </font>
      <fill>
        <patternFill>
          <bgColor rgb="FFFDEFE7"/>
        </patternFill>
      </fill>
    </dxf>
  </dxfs>
  <tableStyles count="0" defaultTableStyle="TableStyleMedium2" defaultPivotStyle="PivotStyleLight16"/>
  <colors>
    <mruColors>
      <color rgb="FFF2ACC0"/>
      <color rgb="FF000000"/>
      <color rgb="FFFBE5D6"/>
      <color rgb="FFEF899F"/>
      <color rgb="FFFDE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0"/>
          <c:tx>
            <c:strRef>
              <c:f>b_line!$B$9</c:f>
              <c:strCache>
                <c:ptCount val="1"/>
                <c:pt idx="0">
                  <c:v>마르지엘라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20" baseline="0">
                    <a:solidFill>
                      <a:schemeClr val="bg1"/>
                    </a:solidFill>
                    <a:latin typeface="나눔바른고딕OTF Light" panose="02000303000000000000" pitchFamily="50" charset="-127"/>
                    <a:ea typeface="나눔바른고딕OTF Light" panose="02000303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[0]!범위_마르지엘라</c:f>
              <c:numCache>
                <c:formatCode>#,##0</c:formatCode>
                <c:ptCount val="45"/>
                <c:pt idx="0">
                  <c:v>1532</c:v>
                </c:pt>
                <c:pt idx="1">
                  <c:v>1116</c:v>
                </c:pt>
                <c:pt idx="2">
                  <c:v>632</c:v>
                </c:pt>
                <c:pt idx="3">
                  <c:v>575</c:v>
                </c:pt>
                <c:pt idx="4">
                  <c:v>573</c:v>
                </c:pt>
                <c:pt idx="5">
                  <c:v>610</c:v>
                </c:pt>
                <c:pt idx="6">
                  <c:v>747</c:v>
                </c:pt>
                <c:pt idx="7">
                  <c:v>787</c:v>
                </c:pt>
                <c:pt idx="8">
                  <c:v>0</c:v>
                </c:pt>
                <c:pt idx="9">
                  <c:v>349</c:v>
                </c:pt>
                <c:pt idx="10">
                  <c:v>367</c:v>
                </c:pt>
                <c:pt idx="11">
                  <c:v>302</c:v>
                </c:pt>
                <c:pt idx="12">
                  <c:v>339</c:v>
                </c:pt>
                <c:pt idx="13">
                  <c:v>415</c:v>
                </c:pt>
                <c:pt idx="14">
                  <c:v>1098</c:v>
                </c:pt>
                <c:pt idx="15">
                  <c:v>959</c:v>
                </c:pt>
                <c:pt idx="16">
                  <c:v>395</c:v>
                </c:pt>
                <c:pt idx="17">
                  <c:v>350</c:v>
                </c:pt>
                <c:pt idx="18">
                  <c:v>424</c:v>
                </c:pt>
                <c:pt idx="19">
                  <c:v>407</c:v>
                </c:pt>
                <c:pt idx="20">
                  <c:v>462</c:v>
                </c:pt>
                <c:pt idx="21">
                  <c:v>1337</c:v>
                </c:pt>
                <c:pt idx="22">
                  <c:v>928</c:v>
                </c:pt>
                <c:pt idx="23">
                  <c:v>420</c:v>
                </c:pt>
                <c:pt idx="24">
                  <c:v>382</c:v>
                </c:pt>
                <c:pt idx="25">
                  <c:v>365</c:v>
                </c:pt>
                <c:pt idx="26">
                  <c:v>319</c:v>
                </c:pt>
                <c:pt idx="27">
                  <c:v>510</c:v>
                </c:pt>
                <c:pt idx="28">
                  <c:v>0</c:v>
                </c:pt>
                <c:pt idx="29">
                  <c:v>0</c:v>
                </c:pt>
                <c:pt idx="30">
                  <c:v>809</c:v>
                </c:pt>
                <c:pt idx="31">
                  <c:v>694</c:v>
                </c:pt>
                <c:pt idx="32">
                  <c:v>424</c:v>
                </c:pt>
                <c:pt idx="33">
                  <c:v>406</c:v>
                </c:pt>
                <c:pt idx="34">
                  <c:v>592</c:v>
                </c:pt>
                <c:pt idx="35">
                  <c:v>1310</c:v>
                </c:pt>
                <c:pt idx="36">
                  <c:v>1277</c:v>
                </c:pt>
                <c:pt idx="37">
                  <c:v>695</c:v>
                </c:pt>
                <c:pt idx="38">
                  <c:v>677</c:v>
                </c:pt>
                <c:pt idx="39">
                  <c:v>198</c:v>
                </c:pt>
                <c:pt idx="40">
                  <c:v>186</c:v>
                </c:pt>
                <c:pt idx="41">
                  <c:v>256</c:v>
                </c:pt>
                <c:pt idx="42">
                  <c:v>638</c:v>
                </c:pt>
                <c:pt idx="43">
                  <c:v>507</c:v>
                </c:pt>
                <c:pt idx="44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C-4BB4-B68F-3E14CEB550C0}"/>
            </c:ext>
          </c:extLst>
        </c:ser>
        <c:ser>
          <c:idx val="1"/>
          <c:order val="1"/>
          <c:tx>
            <c:strRef>
              <c:f>b_line!$B$4</c:f>
              <c:strCache>
                <c:ptCount val="1"/>
                <c:pt idx="0">
                  <c:v>바스키아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20" baseline="0">
                    <a:solidFill>
                      <a:schemeClr val="bg1"/>
                    </a:solidFill>
                    <a:latin typeface="나눔바른고딕OTF Light" panose="02000303000000000000" pitchFamily="50" charset="-127"/>
                    <a:ea typeface="나눔바른고딕OTF Light" panose="02000303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[0]!범위_바스키아</c:f>
              <c:numCache>
                <c:formatCode>#,##0</c:formatCode>
                <c:ptCount val="45"/>
                <c:pt idx="0">
                  <c:v>899</c:v>
                </c:pt>
                <c:pt idx="1">
                  <c:v>1682</c:v>
                </c:pt>
                <c:pt idx="2">
                  <c:v>1564</c:v>
                </c:pt>
                <c:pt idx="3">
                  <c:v>1409</c:v>
                </c:pt>
                <c:pt idx="4">
                  <c:v>614</c:v>
                </c:pt>
                <c:pt idx="5">
                  <c:v>614</c:v>
                </c:pt>
                <c:pt idx="6">
                  <c:v>727</c:v>
                </c:pt>
                <c:pt idx="7">
                  <c:v>630</c:v>
                </c:pt>
                <c:pt idx="8">
                  <c:v>659</c:v>
                </c:pt>
                <c:pt idx="9">
                  <c:v>1752</c:v>
                </c:pt>
                <c:pt idx="10">
                  <c:v>1355</c:v>
                </c:pt>
                <c:pt idx="11">
                  <c:v>540</c:v>
                </c:pt>
                <c:pt idx="12">
                  <c:v>547</c:v>
                </c:pt>
                <c:pt idx="13">
                  <c:v>572</c:v>
                </c:pt>
                <c:pt idx="14">
                  <c:v>450</c:v>
                </c:pt>
                <c:pt idx="15">
                  <c:v>676</c:v>
                </c:pt>
                <c:pt idx="16">
                  <c:v>1741</c:v>
                </c:pt>
                <c:pt idx="17">
                  <c:v>1210</c:v>
                </c:pt>
                <c:pt idx="18">
                  <c:v>649</c:v>
                </c:pt>
                <c:pt idx="19">
                  <c:v>491</c:v>
                </c:pt>
                <c:pt idx="20">
                  <c:v>694</c:v>
                </c:pt>
                <c:pt idx="21">
                  <c:v>558</c:v>
                </c:pt>
                <c:pt idx="22">
                  <c:v>765</c:v>
                </c:pt>
                <c:pt idx="23">
                  <c:v>1617</c:v>
                </c:pt>
                <c:pt idx="24">
                  <c:v>1241</c:v>
                </c:pt>
                <c:pt idx="25">
                  <c:v>480</c:v>
                </c:pt>
                <c:pt idx="26">
                  <c:v>566</c:v>
                </c:pt>
                <c:pt idx="27">
                  <c:v>616</c:v>
                </c:pt>
                <c:pt idx="28">
                  <c:v>549</c:v>
                </c:pt>
                <c:pt idx="29">
                  <c:v>740</c:v>
                </c:pt>
                <c:pt idx="30">
                  <c:v>1556</c:v>
                </c:pt>
                <c:pt idx="31">
                  <c:v>1267</c:v>
                </c:pt>
                <c:pt idx="32">
                  <c:v>719</c:v>
                </c:pt>
                <c:pt idx="33">
                  <c:v>500</c:v>
                </c:pt>
                <c:pt idx="34">
                  <c:v>715</c:v>
                </c:pt>
                <c:pt idx="35">
                  <c:v>606</c:v>
                </c:pt>
                <c:pt idx="36">
                  <c:v>985</c:v>
                </c:pt>
                <c:pt idx="37">
                  <c:v>1776</c:v>
                </c:pt>
                <c:pt idx="38">
                  <c:v>1300</c:v>
                </c:pt>
                <c:pt idx="39">
                  <c:v>617</c:v>
                </c:pt>
                <c:pt idx="40">
                  <c:v>579</c:v>
                </c:pt>
                <c:pt idx="41">
                  <c:v>697</c:v>
                </c:pt>
                <c:pt idx="42">
                  <c:v>561</c:v>
                </c:pt>
                <c:pt idx="43">
                  <c:v>755</c:v>
                </c:pt>
                <c:pt idx="44">
                  <c:v>1461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1C-4BB4-B68F-3E14CEB550C0}"/>
            </c:ext>
          </c:extLst>
        </c:ser>
        <c:ser>
          <c:idx val="2"/>
          <c:order val="2"/>
          <c:tx>
            <c:strRef>
              <c:f>b_line!$B$5</c:f>
              <c:strCache>
                <c:ptCount val="1"/>
                <c:pt idx="0">
                  <c:v>김정기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2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나눔바른고딕OTF Light" panose="02000303000000000000" pitchFamily="50" charset="-127"/>
                    <a:ea typeface="나눔바른고딕OTF Light" panose="0200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[0]!범위_김정기</c:f>
              <c:numCache>
                <c:formatCode>#,##0</c:formatCode>
                <c:ptCount val="45"/>
                <c:pt idx="0">
                  <c:v>158</c:v>
                </c:pt>
                <c:pt idx="1">
                  <c:v>265</c:v>
                </c:pt>
                <c:pt idx="2">
                  <c:v>151</c:v>
                </c:pt>
                <c:pt idx="3">
                  <c:v>0</c:v>
                </c:pt>
                <c:pt idx="4">
                  <c:v>70</c:v>
                </c:pt>
                <c:pt idx="5">
                  <c:v>69</c:v>
                </c:pt>
                <c:pt idx="6">
                  <c:v>132</c:v>
                </c:pt>
                <c:pt idx="7">
                  <c:v>96</c:v>
                </c:pt>
                <c:pt idx="8">
                  <c:v>254</c:v>
                </c:pt>
                <c:pt idx="9">
                  <c:v>164</c:v>
                </c:pt>
                <c:pt idx="10">
                  <c:v>106</c:v>
                </c:pt>
                <c:pt idx="11">
                  <c:v>54</c:v>
                </c:pt>
                <c:pt idx="12">
                  <c:v>90</c:v>
                </c:pt>
                <c:pt idx="13">
                  <c:v>104</c:v>
                </c:pt>
                <c:pt idx="14">
                  <c:v>99</c:v>
                </c:pt>
                <c:pt idx="15">
                  <c:v>281</c:v>
                </c:pt>
                <c:pt idx="16">
                  <c:v>236</c:v>
                </c:pt>
                <c:pt idx="17">
                  <c:v>105</c:v>
                </c:pt>
                <c:pt idx="18">
                  <c:v>93</c:v>
                </c:pt>
                <c:pt idx="19">
                  <c:v>217</c:v>
                </c:pt>
                <c:pt idx="20">
                  <c:v>121</c:v>
                </c:pt>
                <c:pt idx="21">
                  <c:v>76</c:v>
                </c:pt>
                <c:pt idx="22">
                  <c:v>283</c:v>
                </c:pt>
                <c:pt idx="23">
                  <c:v>229</c:v>
                </c:pt>
                <c:pt idx="24">
                  <c:v>80</c:v>
                </c:pt>
                <c:pt idx="25">
                  <c:v>56</c:v>
                </c:pt>
                <c:pt idx="26">
                  <c:v>55</c:v>
                </c:pt>
                <c:pt idx="27">
                  <c:v>61</c:v>
                </c:pt>
                <c:pt idx="28">
                  <c:v>86</c:v>
                </c:pt>
                <c:pt idx="29">
                  <c:v>283</c:v>
                </c:pt>
                <c:pt idx="30">
                  <c:v>281</c:v>
                </c:pt>
                <c:pt idx="31">
                  <c:v>60</c:v>
                </c:pt>
                <c:pt idx="32">
                  <c:v>83</c:v>
                </c:pt>
                <c:pt idx="33">
                  <c:v>248</c:v>
                </c:pt>
                <c:pt idx="34">
                  <c:v>65</c:v>
                </c:pt>
                <c:pt idx="35">
                  <c:v>192</c:v>
                </c:pt>
                <c:pt idx="36">
                  <c:v>354</c:v>
                </c:pt>
                <c:pt idx="37">
                  <c:v>224</c:v>
                </c:pt>
                <c:pt idx="38">
                  <c:v>0</c:v>
                </c:pt>
                <c:pt idx="39">
                  <c:v>99</c:v>
                </c:pt>
                <c:pt idx="40">
                  <c:v>105</c:v>
                </c:pt>
                <c:pt idx="41">
                  <c:v>51</c:v>
                </c:pt>
                <c:pt idx="42">
                  <c:v>76</c:v>
                </c:pt>
                <c:pt idx="43">
                  <c:v>251</c:v>
                </c:pt>
                <c:pt idx="44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1C-4BB4-B68F-3E14CEB550C0}"/>
            </c:ext>
          </c:extLst>
        </c:ser>
        <c:ser>
          <c:idx val="3"/>
          <c:order val="3"/>
          <c:tx>
            <c:strRef>
              <c:f>b_line!$B$6</c:f>
              <c:strCache>
                <c:ptCount val="1"/>
                <c:pt idx="0">
                  <c:v>드리머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spc="-12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나눔바른고딕OTF Light" panose="02000303000000000000" pitchFamily="50" charset="-127"/>
                    <a:ea typeface="나눔바른고딕OTF Light" panose="0200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[0]!범위_드리머</c:f>
              <c:numCache>
                <c:formatCode>#,##0</c:formatCode>
                <c:ptCount val="45"/>
                <c:pt idx="0">
                  <c:v>89</c:v>
                </c:pt>
                <c:pt idx="1">
                  <c:v>98</c:v>
                </c:pt>
                <c:pt idx="2">
                  <c:v>188</c:v>
                </c:pt>
                <c:pt idx="3">
                  <c:v>158</c:v>
                </c:pt>
                <c:pt idx="4">
                  <c:v>181</c:v>
                </c:pt>
                <c:pt idx="5">
                  <c:v>36</c:v>
                </c:pt>
                <c:pt idx="6">
                  <c:v>60</c:v>
                </c:pt>
                <c:pt idx="7">
                  <c:v>73</c:v>
                </c:pt>
                <c:pt idx="8">
                  <c:v>110</c:v>
                </c:pt>
                <c:pt idx="9">
                  <c:v>344</c:v>
                </c:pt>
                <c:pt idx="10">
                  <c:v>356</c:v>
                </c:pt>
                <c:pt idx="11">
                  <c:v>225</c:v>
                </c:pt>
                <c:pt idx="12">
                  <c:v>38</c:v>
                </c:pt>
                <c:pt idx="13">
                  <c:v>72</c:v>
                </c:pt>
                <c:pt idx="14">
                  <c:v>44</c:v>
                </c:pt>
                <c:pt idx="15">
                  <c:v>82</c:v>
                </c:pt>
                <c:pt idx="16">
                  <c:v>331</c:v>
                </c:pt>
                <c:pt idx="17">
                  <c:v>265</c:v>
                </c:pt>
                <c:pt idx="18">
                  <c:v>0</c:v>
                </c:pt>
                <c:pt idx="19">
                  <c:v>60</c:v>
                </c:pt>
                <c:pt idx="20">
                  <c:v>65</c:v>
                </c:pt>
                <c:pt idx="21">
                  <c:v>64</c:v>
                </c:pt>
                <c:pt idx="22">
                  <c:v>110</c:v>
                </c:pt>
                <c:pt idx="23">
                  <c:v>320</c:v>
                </c:pt>
                <c:pt idx="24">
                  <c:v>280</c:v>
                </c:pt>
                <c:pt idx="25">
                  <c:v>78</c:v>
                </c:pt>
                <c:pt idx="26">
                  <c:v>54</c:v>
                </c:pt>
                <c:pt idx="27">
                  <c:v>176</c:v>
                </c:pt>
                <c:pt idx="28">
                  <c:v>55</c:v>
                </c:pt>
                <c:pt idx="29">
                  <c:v>134</c:v>
                </c:pt>
                <c:pt idx="30">
                  <c:v>349</c:v>
                </c:pt>
                <c:pt idx="31">
                  <c:v>407</c:v>
                </c:pt>
                <c:pt idx="32">
                  <c:v>60</c:v>
                </c:pt>
                <c:pt idx="33">
                  <c:v>61</c:v>
                </c:pt>
                <c:pt idx="34">
                  <c:v>96</c:v>
                </c:pt>
                <c:pt idx="35">
                  <c:v>85</c:v>
                </c:pt>
                <c:pt idx="36">
                  <c:v>155</c:v>
                </c:pt>
                <c:pt idx="37">
                  <c:v>372</c:v>
                </c:pt>
                <c:pt idx="38">
                  <c:v>355</c:v>
                </c:pt>
                <c:pt idx="39">
                  <c:v>0</c:v>
                </c:pt>
                <c:pt idx="40">
                  <c:v>106</c:v>
                </c:pt>
                <c:pt idx="41">
                  <c:v>157</c:v>
                </c:pt>
                <c:pt idx="42">
                  <c:v>133</c:v>
                </c:pt>
                <c:pt idx="43">
                  <c:v>177</c:v>
                </c:pt>
                <c:pt idx="44">
                  <c:v>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1C-4BB4-B68F-3E14CEB550C0}"/>
            </c:ext>
          </c:extLst>
        </c:ser>
        <c:ser>
          <c:idx val="4"/>
          <c:order val="4"/>
          <c:tx>
            <c:strRef>
              <c:f>b_line!$B$7</c:f>
              <c:strCache>
                <c:ptCount val="1"/>
                <c:pt idx="0">
                  <c:v>알렉스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[0]!범위_알렉스</c:f>
              <c:numCache>
                <c:formatCode>#,##0</c:formatCode>
                <c:ptCount val="45"/>
                <c:pt idx="0">
                  <c:v>285</c:v>
                </c:pt>
                <c:pt idx="1">
                  <c:v>356</c:v>
                </c:pt>
                <c:pt idx="2">
                  <c:v>130</c:v>
                </c:pt>
                <c:pt idx="3">
                  <c:v>107</c:v>
                </c:pt>
                <c:pt idx="4">
                  <c:v>143</c:v>
                </c:pt>
                <c:pt idx="5">
                  <c:v>509</c:v>
                </c:pt>
                <c:pt idx="6">
                  <c:v>390</c:v>
                </c:pt>
                <c:pt idx="7">
                  <c:v>0</c:v>
                </c:pt>
                <c:pt idx="8">
                  <c:v>129</c:v>
                </c:pt>
                <c:pt idx="9">
                  <c:v>469</c:v>
                </c:pt>
                <c:pt idx="10">
                  <c:v>135</c:v>
                </c:pt>
                <c:pt idx="11">
                  <c:v>181</c:v>
                </c:pt>
                <c:pt idx="12">
                  <c:v>569</c:v>
                </c:pt>
                <c:pt idx="13">
                  <c:v>470</c:v>
                </c:pt>
                <c:pt idx="14">
                  <c:v>131</c:v>
                </c:pt>
                <c:pt idx="15">
                  <c:v>137</c:v>
                </c:pt>
                <c:pt idx="16">
                  <c:v>174</c:v>
                </c:pt>
                <c:pt idx="17">
                  <c:v>119</c:v>
                </c:pt>
                <c:pt idx="18">
                  <c:v>230</c:v>
                </c:pt>
                <c:pt idx="19">
                  <c:v>661</c:v>
                </c:pt>
                <c:pt idx="20">
                  <c:v>559</c:v>
                </c:pt>
                <c:pt idx="21">
                  <c:v>202</c:v>
                </c:pt>
                <c:pt idx="22">
                  <c:v>184</c:v>
                </c:pt>
                <c:pt idx="23">
                  <c:v>128</c:v>
                </c:pt>
                <c:pt idx="24">
                  <c:v>160</c:v>
                </c:pt>
                <c:pt idx="25">
                  <c:v>203</c:v>
                </c:pt>
                <c:pt idx="26">
                  <c:v>841</c:v>
                </c:pt>
                <c:pt idx="27">
                  <c:v>701</c:v>
                </c:pt>
                <c:pt idx="28">
                  <c:v>250</c:v>
                </c:pt>
                <c:pt idx="29">
                  <c:v>240</c:v>
                </c:pt>
                <c:pt idx="30">
                  <c:v>419</c:v>
                </c:pt>
                <c:pt idx="31">
                  <c:v>457</c:v>
                </c:pt>
                <c:pt idx="32">
                  <c:v>210</c:v>
                </c:pt>
                <c:pt idx="33">
                  <c:v>558</c:v>
                </c:pt>
                <c:pt idx="34">
                  <c:v>423</c:v>
                </c:pt>
                <c:pt idx="35">
                  <c:v>160</c:v>
                </c:pt>
                <c:pt idx="36">
                  <c:v>194</c:v>
                </c:pt>
                <c:pt idx="37">
                  <c:v>163</c:v>
                </c:pt>
                <c:pt idx="38">
                  <c:v>182</c:v>
                </c:pt>
                <c:pt idx="39">
                  <c:v>274</c:v>
                </c:pt>
                <c:pt idx="40">
                  <c:v>656</c:v>
                </c:pt>
                <c:pt idx="41">
                  <c:v>406</c:v>
                </c:pt>
                <c:pt idx="42">
                  <c:v>173</c:v>
                </c:pt>
                <c:pt idx="43">
                  <c:v>170</c:v>
                </c:pt>
                <c:pt idx="44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1C-4BB4-B68F-3E14CEB550C0}"/>
            </c:ext>
          </c:extLst>
        </c:ser>
        <c:ser>
          <c:idx val="5"/>
          <c:order val="5"/>
          <c:tx>
            <c:strRef>
              <c:f>b_line!$B$8</c:f>
              <c:strCache>
                <c:ptCount val="1"/>
                <c:pt idx="0">
                  <c:v>페어리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2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나눔바른고딕OTF Light" panose="02000303000000000000" pitchFamily="50" charset="-127"/>
                    <a:ea typeface="나눔바른고딕OTF Light" panose="0200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[0]!범위_페어리</c:f>
              <c:numCache>
                <c:formatCode>#,##0</c:formatCode>
                <c:ptCount val="45"/>
                <c:pt idx="0">
                  <c:v>342</c:v>
                </c:pt>
                <c:pt idx="1">
                  <c:v>453</c:v>
                </c:pt>
                <c:pt idx="2">
                  <c:v>338</c:v>
                </c:pt>
                <c:pt idx="3">
                  <c:v>212</c:v>
                </c:pt>
                <c:pt idx="4">
                  <c:v>211</c:v>
                </c:pt>
                <c:pt idx="5">
                  <c:v>302</c:v>
                </c:pt>
                <c:pt idx="6">
                  <c:v>232</c:v>
                </c:pt>
                <c:pt idx="7">
                  <c:v>240</c:v>
                </c:pt>
                <c:pt idx="8">
                  <c:v>489</c:v>
                </c:pt>
                <c:pt idx="9">
                  <c:v>417</c:v>
                </c:pt>
                <c:pt idx="10">
                  <c:v>230</c:v>
                </c:pt>
                <c:pt idx="11">
                  <c:v>146</c:v>
                </c:pt>
                <c:pt idx="12">
                  <c:v>226</c:v>
                </c:pt>
                <c:pt idx="13">
                  <c:v>181</c:v>
                </c:pt>
                <c:pt idx="14">
                  <c:v>221</c:v>
                </c:pt>
                <c:pt idx="15">
                  <c:v>453</c:v>
                </c:pt>
                <c:pt idx="16">
                  <c:v>438</c:v>
                </c:pt>
                <c:pt idx="17">
                  <c:v>474</c:v>
                </c:pt>
                <c:pt idx="18">
                  <c:v>215</c:v>
                </c:pt>
                <c:pt idx="19">
                  <c:v>155</c:v>
                </c:pt>
                <c:pt idx="20">
                  <c:v>183</c:v>
                </c:pt>
                <c:pt idx="21">
                  <c:v>226</c:v>
                </c:pt>
                <c:pt idx="22">
                  <c:v>507</c:v>
                </c:pt>
                <c:pt idx="23">
                  <c:v>395</c:v>
                </c:pt>
                <c:pt idx="24">
                  <c:v>30</c:v>
                </c:pt>
                <c:pt idx="25">
                  <c:v>210</c:v>
                </c:pt>
                <c:pt idx="26">
                  <c:v>194</c:v>
                </c:pt>
                <c:pt idx="27">
                  <c:v>212</c:v>
                </c:pt>
                <c:pt idx="28">
                  <c:v>296</c:v>
                </c:pt>
                <c:pt idx="29">
                  <c:v>602</c:v>
                </c:pt>
                <c:pt idx="30">
                  <c:v>577</c:v>
                </c:pt>
                <c:pt idx="31">
                  <c:v>254</c:v>
                </c:pt>
                <c:pt idx="32">
                  <c:v>212</c:v>
                </c:pt>
                <c:pt idx="33">
                  <c:v>349</c:v>
                </c:pt>
                <c:pt idx="34">
                  <c:v>87</c:v>
                </c:pt>
                <c:pt idx="35">
                  <c:v>163</c:v>
                </c:pt>
                <c:pt idx="36">
                  <c:v>373</c:v>
                </c:pt>
                <c:pt idx="37">
                  <c:v>275</c:v>
                </c:pt>
                <c:pt idx="38">
                  <c:v>96</c:v>
                </c:pt>
                <c:pt idx="39">
                  <c:v>76</c:v>
                </c:pt>
                <c:pt idx="40">
                  <c:v>138</c:v>
                </c:pt>
                <c:pt idx="41">
                  <c:v>127</c:v>
                </c:pt>
                <c:pt idx="42">
                  <c:v>0</c:v>
                </c:pt>
                <c:pt idx="43">
                  <c:v>0</c:v>
                </c:pt>
                <c:pt idx="44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1C-4BB4-B68F-3E14CEB550C0}"/>
            </c:ext>
          </c:extLst>
        </c:ser>
        <c:ser>
          <c:idx val="7"/>
          <c:order val="6"/>
          <c:tx>
            <c:strRef>
              <c:f>b_line!$B$10</c:f>
              <c:strCache>
                <c:ptCount val="1"/>
                <c:pt idx="0">
                  <c:v>제이알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2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나눔바른고딕OTF Light" panose="02000303000000000000" pitchFamily="50" charset="-127"/>
                    <a:ea typeface="나눔바른고딕OTF Light" panose="0200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[0]!범위_제이알</c:f>
              <c:numCache>
                <c:formatCode>#,##0</c:formatCode>
                <c:ptCount val="45"/>
                <c:pt idx="0">
                  <c:v>106</c:v>
                </c:pt>
                <c:pt idx="1">
                  <c:v>107</c:v>
                </c:pt>
                <c:pt idx="2">
                  <c:v>287</c:v>
                </c:pt>
                <c:pt idx="3">
                  <c:v>205</c:v>
                </c:pt>
                <c:pt idx="4">
                  <c:v>115</c:v>
                </c:pt>
                <c:pt idx="5">
                  <c:v>64</c:v>
                </c:pt>
                <c:pt idx="6">
                  <c:v>106</c:v>
                </c:pt>
                <c:pt idx="7">
                  <c:v>54</c:v>
                </c:pt>
                <c:pt idx="8">
                  <c:v>96</c:v>
                </c:pt>
                <c:pt idx="9">
                  <c:v>101</c:v>
                </c:pt>
                <c:pt idx="10">
                  <c:v>282</c:v>
                </c:pt>
                <c:pt idx="11">
                  <c:v>173</c:v>
                </c:pt>
                <c:pt idx="12">
                  <c:v>85</c:v>
                </c:pt>
                <c:pt idx="13">
                  <c:v>84</c:v>
                </c:pt>
                <c:pt idx="14">
                  <c:v>111</c:v>
                </c:pt>
                <c:pt idx="15">
                  <c:v>107</c:v>
                </c:pt>
                <c:pt idx="16">
                  <c:v>134</c:v>
                </c:pt>
                <c:pt idx="17">
                  <c:v>213</c:v>
                </c:pt>
                <c:pt idx="18">
                  <c:v>184</c:v>
                </c:pt>
                <c:pt idx="19">
                  <c:v>59</c:v>
                </c:pt>
                <c:pt idx="20">
                  <c:v>100</c:v>
                </c:pt>
                <c:pt idx="21">
                  <c:v>73</c:v>
                </c:pt>
                <c:pt idx="22">
                  <c:v>97</c:v>
                </c:pt>
                <c:pt idx="23">
                  <c:v>112</c:v>
                </c:pt>
                <c:pt idx="24">
                  <c:v>266</c:v>
                </c:pt>
                <c:pt idx="25">
                  <c:v>204</c:v>
                </c:pt>
                <c:pt idx="26">
                  <c:v>200</c:v>
                </c:pt>
                <c:pt idx="27">
                  <c:v>68</c:v>
                </c:pt>
                <c:pt idx="28">
                  <c:v>128</c:v>
                </c:pt>
                <c:pt idx="29">
                  <c:v>54</c:v>
                </c:pt>
                <c:pt idx="30">
                  <c:v>122</c:v>
                </c:pt>
                <c:pt idx="31">
                  <c:v>157</c:v>
                </c:pt>
                <c:pt idx="32">
                  <c:v>164</c:v>
                </c:pt>
                <c:pt idx="33">
                  <c:v>125</c:v>
                </c:pt>
                <c:pt idx="34">
                  <c:v>131</c:v>
                </c:pt>
                <c:pt idx="35">
                  <c:v>83</c:v>
                </c:pt>
                <c:pt idx="36">
                  <c:v>97</c:v>
                </c:pt>
                <c:pt idx="37">
                  <c:v>68</c:v>
                </c:pt>
                <c:pt idx="38">
                  <c:v>195</c:v>
                </c:pt>
                <c:pt idx="39">
                  <c:v>158</c:v>
                </c:pt>
                <c:pt idx="40">
                  <c:v>25</c:v>
                </c:pt>
                <c:pt idx="41">
                  <c:v>122</c:v>
                </c:pt>
                <c:pt idx="42">
                  <c:v>102</c:v>
                </c:pt>
                <c:pt idx="43">
                  <c:v>74</c:v>
                </c:pt>
                <c:pt idx="44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1C-4BB4-B68F-3E14CEB550C0}"/>
            </c:ext>
          </c:extLst>
        </c:ser>
        <c:ser>
          <c:idx val="8"/>
          <c:order val="7"/>
          <c:tx>
            <c:strRef>
              <c:f>b_line!$B$11</c:f>
              <c:strCache>
                <c:ptCount val="1"/>
                <c:pt idx="0">
                  <c:v>오스틴 리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2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나눔바른고딕OTF Light" panose="02000303000000000000" pitchFamily="50" charset="-127"/>
                    <a:ea typeface="나눔바른고딕OTF Light" panose="0200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[0]!범위_오스틴리</c:f>
              <c:numCache>
                <c:formatCode>#,##0</c:formatCode>
                <c:ptCount val="45"/>
                <c:pt idx="0">
                  <c:v>227</c:v>
                </c:pt>
                <c:pt idx="1">
                  <c:v>274</c:v>
                </c:pt>
                <c:pt idx="2">
                  <c:v>124</c:v>
                </c:pt>
                <c:pt idx="3">
                  <c:v>105</c:v>
                </c:pt>
                <c:pt idx="4">
                  <c:v>413</c:v>
                </c:pt>
                <c:pt idx="5">
                  <c:v>305</c:v>
                </c:pt>
                <c:pt idx="6">
                  <c:v>349</c:v>
                </c:pt>
                <c:pt idx="7">
                  <c:v>336</c:v>
                </c:pt>
                <c:pt idx="8">
                  <c:v>120</c:v>
                </c:pt>
                <c:pt idx="9">
                  <c:v>96</c:v>
                </c:pt>
                <c:pt idx="10">
                  <c:v>202</c:v>
                </c:pt>
                <c:pt idx="11">
                  <c:v>383</c:v>
                </c:pt>
                <c:pt idx="12">
                  <c:v>404</c:v>
                </c:pt>
                <c:pt idx="13">
                  <c:v>371</c:v>
                </c:pt>
                <c:pt idx="14">
                  <c:v>126</c:v>
                </c:pt>
                <c:pt idx="15">
                  <c:v>99</c:v>
                </c:pt>
                <c:pt idx="16">
                  <c:v>236</c:v>
                </c:pt>
                <c:pt idx="17">
                  <c:v>189</c:v>
                </c:pt>
                <c:pt idx="18">
                  <c:v>567</c:v>
                </c:pt>
                <c:pt idx="19">
                  <c:v>341</c:v>
                </c:pt>
                <c:pt idx="20">
                  <c:v>0</c:v>
                </c:pt>
                <c:pt idx="21">
                  <c:v>114</c:v>
                </c:pt>
                <c:pt idx="22">
                  <c:v>129</c:v>
                </c:pt>
                <c:pt idx="23">
                  <c:v>159</c:v>
                </c:pt>
                <c:pt idx="24">
                  <c:v>203</c:v>
                </c:pt>
                <c:pt idx="25">
                  <c:v>525</c:v>
                </c:pt>
                <c:pt idx="26">
                  <c:v>353</c:v>
                </c:pt>
                <c:pt idx="27">
                  <c:v>163</c:v>
                </c:pt>
                <c:pt idx="28">
                  <c:v>105</c:v>
                </c:pt>
                <c:pt idx="29">
                  <c:v>130</c:v>
                </c:pt>
                <c:pt idx="30">
                  <c:v>120</c:v>
                </c:pt>
                <c:pt idx="31">
                  <c:v>177</c:v>
                </c:pt>
                <c:pt idx="32">
                  <c:v>326</c:v>
                </c:pt>
                <c:pt idx="33">
                  <c:v>320</c:v>
                </c:pt>
                <c:pt idx="34">
                  <c:v>94</c:v>
                </c:pt>
                <c:pt idx="35">
                  <c:v>122</c:v>
                </c:pt>
                <c:pt idx="36">
                  <c:v>127</c:v>
                </c:pt>
                <c:pt idx="37">
                  <c:v>95</c:v>
                </c:pt>
                <c:pt idx="38">
                  <c:v>151</c:v>
                </c:pt>
                <c:pt idx="39">
                  <c:v>487</c:v>
                </c:pt>
                <c:pt idx="40">
                  <c:v>427</c:v>
                </c:pt>
                <c:pt idx="41">
                  <c:v>0</c:v>
                </c:pt>
                <c:pt idx="42">
                  <c:v>135</c:v>
                </c:pt>
                <c:pt idx="43">
                  <c:v>161</c:v>
                </c:pt>
                <c:pt idx="44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1C-4BB4-B68F-3E14CEB550C0}"/>
            </c:ext>
          </c:extLst>
        </c:ser>
        <c:ser>
          <c:idx val="9"/>
          <c:order val="8"/>
          <c:tx>
            <c:strRef>
              <c:f>b_line!$B$12</c:f>
              <c:strCache>
                <c:ptCount val="1"/>
                <c:pt idx="0">
                  <c:v>윤협</c:v>
                </c:pt>
              </c:strCache>
            </c:strRef>
          </c:tx>
          <c:spPr>
            <a:ln w="3810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spc="-120" baseline="0">
                    <a:solidFill>
                      <a:schemeClr val="bg1"/>
                    </a:solidFill>
                    <a:latin typeface="나눔바른고딕OTF Light" panose="02000303000000000000" pitchFamily="50" charset="-127"/>
                    <a:ea typeface="나눔바른고딕OTF Light" panose="02000303000000000000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[0]!범위_윤협</c:f>
              <c:numCache>
                <c:formatCode>#,##0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1C-4BB4-B68F-3E14CEB55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7749872"/>
        <c:axId val="-2107751504"/>
      </c:lineChart>
      <c:catAx>
        <c:axId val="-210774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나눔바른고딕OTF Light" panose="02000303000000000000" pitchFamily="50" charset="-127"/>
                <a:ea typeface="나눔바른고딕OTF Light" panose="02000303000000000000" pitchFamily="50" charset="-127"/>
                <a:cs typeface="+mn-cs"/>
              </a:defRPr>
            </a:pPr>
            <a:endParaRPr lang="ko-KR"/>
          </a:p>
        </c:txPr>
        <c:crossAx val="-2107751504"/>
        <c:crosses val="autoZero"/>
        <c:auto val="1"/>
        <c:lblAlgn val="ctr"/>
        <c:lblOffset val="100"/>
        <c:noMultiLvlLbl val="0"/>
      </c:catAx>
      <c:valAx>
        <c:axId val="-210775150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나눔바른고딕OTF Light" panose="02000303000000000000" pitchFamily="50" charset="-127"/>
                <a:ea typeface="나눔바른고딕OTF Light" panose="02000303000000000000" pitchFamily="50" charset="-127"/>
                <a:cs typeface="+mn-cs"/>
              </a:defRPr>
            </a:pPr>
            <a:endParaRPr lang="ko-KR"/>
          </a:p>
        </c:txPr>
        <c:crossAx val="-210774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나눔바른고딕OTF Light" panose="02000303000000000000" pitchFamily="50" charset="-127"/>
              <a:ea typeface="나눔바른고딕OTF Light" panose="0200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나눔바른고딕OTF Light" panose="02000303000000000000" pitchFamily="50" charset="-127"/>
          <a:ea typeface="나눔바른고딕OTF Light" panose="0200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b_stick!$F$8</c:f>
              <c:strCache>
                <c:ptCount val="1"/>
                <c:pt idx="0">
                  <c:v>드리머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b_stick!$C$9:$E$134</c:f>
              <c:multiLvlStrCache>
                <c:ptCount val="126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</c:lvl>
              </c:multiLvlStrCache>
            </c:multiLvlStrRef>
          </c:cat>
          <c:val>
            <c:numRef>
              <c:f>b_stick!$F$9:$F$134</c:f>
              <c:numCache>
                <c:formatCode>#,##0</c:formatCode>
                <c:ptCount val="1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5-433F-BBFE-9812A5B587C5}"/>
            </c:ext>
          </c:extLst>
        </c:ser>
        <c:ser>
          <c:idx val="1"/>
          <c:order val="1"/>
          <c:tx>
            <c:strRef>
              <c:f>b_stick!$G$8</c:f>
              <c:strCache>
                <c:ptCount val="1"/>
                <c:pt idx="0">
                  <c:v>알렉스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b_stick!$C$9:$E$134</c:f>
              <c:multiLvlStrCache>
                <c:ptCount val="126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</c:lvl>
              </c:multiLvlStrCache>
            </c:multiLvlStrRef>
          </c:cat>
          <c:val>
            <c:numRef>
              <c:f>b_stick!$G$9:$G$134</c:f>
              <c:numCache>
                <c:formatCode>#,##0</c:formatCode>
                <c:ptCount val="1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5-433F-BBFE-9812A5B587C5}"/>
            </c:ext>
          </c:extLst>
        </c:ser>
        <c:ser>
          <c:idx val="2"/>
          <c:order val="2"/>
          <c:tx>
            <c:strRef>
              <c:f>b_stick!$H$8</c:f>
              <c:strCache>
                <c:ptCount val="1"/>
                <c:pt idx="0">
                  <c:v>페어리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b_stick!$C$9:$E$134</c:f>
              <c:multiLvlStrCache>
                <c:ptCount val="126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</c:lvl>
              </c:multiLvlStrCache>
            </c:multiLvlStrRef>
          </c:cat>
          <c:val>
            <c:numRef>
              <c:f>b_stick!$H$9:$H$134</c:f>
              <c:numCache>
                <c:formatCode>#,##0</c:formatCode>
                <c:ptCount val="1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5-433F-BBFE-9812A5B587C5}"/>
            </c:ext>
          </c:extLst>
        </c:ser>
        <c:ser>
          <c:idx val="3"/>
          <c:order val="3"/>
          <c:tx>
            <c:strRef>
              <c:f>b_stick!$I$8</c:f>
              <c:strCache>
                <c:ptCount val="1"/>
                <c:pt idx="0">
                  <c:v>마르지엘라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b_stick!$C$9:$E$134</c:f>
              <c:multiLvlStrCache>
                <c:ptCount val="126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</c:lvl>
              </c:multiLvlStrCache>
            </c:multiLvlStrRef>
          </c:cat>
          <c:val>
            <c:numRef>
              <c:f>b_stick!$I$9:$I$134</c:f>
              <c:numCache>
                <c:formatCode>#,##0</c:formatCode>
                <c:ptCount val="1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15-433F-BBFE-9812A5B587C5}"/>
            </c:ext>
          </c:extLst>
        </c:ser>
        <c:ser>
          <c:idx val="4"/>
          <c:order val="4"/>
          <c:tx>
            <c:strRef>
              <c:f>b_stick!$J$8</c:f>
              <c:strCache>
                <c:ptCount val="1"/>
                <c:pt idx="0">
                  <c:v>제이알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b_stick!$C$9:$E$134</c:f>
              <c:multiLvlStrCache>
                <c:ptCount val="126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</c:lvl>
              </c:multiLvlStrCache>
            </c:multiLvlStrRef>
          </c:cat>
          <c:val>
            <c:numRef>
              <c:f>b_stick!$J$9:$J$134</c:f>
              <c:numCache>
                <c:formatCode>#,##0</c:formatCode>
                <c:ptCount val="1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15-433F-BBFE-9812A5B587C5}"/>
            </c:ext>
          </c:extLst>
        </c:ser>
        <c:ser>
          <c:idx val="5"/>
          <c:order val="5"/>
          <c:tx>
            <c:strRef>
              <c:f>b_stick!$K$8</c:f>
              <c:strCache>
                <c:ptCount val="1"/>
                <c:pt idx="0">
                  <c:v>오스틴 리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b_stick!$C$9:$E$134</c:f>
              <c:multiLvlStrCache>
                <c:ptCount val="126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</c:lvl>
              </c:multiLvlStrCache>
            </c:multiLvlStrRef>
          </c:cat>
          <c:val>
            <c:numRef>
              <c:f>b_stick!$K$9:$K$134</c:f>
              <c:numCache>
                <c:formatCode>#,##0</c:formatCode>
                <c:ptCount val="1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15-433F-BBFE-9812A5B587C5}"/>
            </c:ext>
          </c:extLst>
        </c:ser>
        <c:ser>
          <c:idx val="6"/>
          <c:order val="6"/>
          <c:tx>
            <c:strRef>
              <c:f>b_stick!$L$8</c:f>
              <c:strCache>
                <c:ptCount val="1"/>
                <c:pt idx="0">
                  <c:v>윤협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b_stick!$C$9:$E$134</c:f>
              <c:multiLvlStrCache>
                <c:ptCount val="126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  <c:pt idx="65">
                    <c:v>#REF!</c:v>
                  </c:pt>
                  <c:pt idx="66">
                    <c:v>#REF!</c:v>
                  </c:pt>
                  <c:pt idx="67">
                    <c:v>#REF!</c:v>
                  </c:pt>
                  <c:pt idx="68">
                    <c:v>#REF!</c:v>
                  </c:pt>
                  <c:pt idx="69">
                    <c:v>#REF!</c:v>
                  </c:pt>
                  <c:pt idx="70">
                    <c:v>#REF!</c:v>
                  </c:pt>
                  <c:pt idx="71">
                    <c:v>#REF!</c:v>
                  </c:pt>
                  <c:pt idx="72">
                    <c:v>#REF!</c:v>
                  </c:pt>
                  <c:pt idx="73">
                    <c:v>#REF!</c:v>
                  </c:pt>
                  <c:pt idx="74">
                    <c:v>#REF!</c:v>
                  </c:pt>
                  <c:pt idx="75">
                    <c:v>#REF!</c:v>
                  </c:pt>
                  <c:pt idx="76">
                    <c:v>#REF!</c:v>
                  </c:pt>
                  <c:pt idx="77">
                    <c:v>#REF!</c:v>
                  </c:pt>
                  <c:pt idx="78">
                    <c:v>#REF!</c:v>
                  </c:pt>
                  <c:pt idx="79">
                    <c:v>#REF!</c:v>
                  </c:pt>
                  <c:pt idx="80">
                    <c:v>#REF!</c:v>
                  </c:pt>
                  <c:pt idx="81">
                    <c:v>#REF!</c:v>
                  </c:pt>
                  <c:pt idx="82">
                    <c:v>#REF!</c:v>
                  </c:pt>
                  <c:pt idx="83">
                    <c:v>#REF!</c:v>
                  </c:pt>
                  <c:pt idx="84">
                    <c:v>#REF!</c:v>
                  </c:pt>
                  <c:pt idx="85">
                    <c:v>#REF!</c:v>
                  </c:pt>
                  <c:pt idx="86">
                    <c:v>#REF!</c:v>
                  </c:pt>
                  <c:pt idx="87">
                    <c:v>#REF!</c:v>
                  </c:pt>
                  <c:pt idx="88">
                    <c:v>#REF!</c:v>
                  </c:pt>
                  <c:pt idx="89">
                    <c:v>#REF!</c:v>
                  </c:pt>
                  <c:pt idx="90">
                    <c:v>#REF!</c:v>
                  </c:pt>
                  <c:pt idx="91">
                    <c:v>#REF!</c:v>
                  </c:pt>
                  <c:pt idx="92">
                    <c:v>#REF!</c:v>
                  </c:pt>
                  <c:pt idx="93">
                    <c:v>#REF!</c:v>
                  </c:pt>
                  <c:pt idx="94">
                    <c:v>#REF!</c:v>
                  </c:pt>
                  <c:pt idx="95">
                    <c:v>#REF!</c:v>
                  </c:pt>
                  <c:pt idx="96">
                    <c:v>#REF!</c:v>
                  </c:pt>
                  <c:pt idx="97">
                    <c:v>#REF!</c:v>
                  </c:pt>
                  <c:pt idx="98">
                    <c:v>#REF!</c:v>
                  </c:pt>
                  <c:pt idx="99">
                    <c:v>#REF!</c:v>
                  </c:pt>
                  <c:pt idx="100">
                    <c:v>#REF!</c:v>
                  </c:pt>
                  <c:pt idx="101">
                    <c:v>#REF!</c:v>
                  </c:pt>
                  <c:pt idx="102">
                    <c:v>#REF!</c:v>
                  </c:pt>
                  <c:pt idx="103">
                    <c:v>#REF!</c:v>
                  </c:pt>
                  <c:pt idx="104">
                    <c:v>#REF!</c:v>
                  </c:pt>
                  <c:pt idx="105">
                    <c:v>#REF!</c:v>
                  </c:pt>
                  <c:pt idx="106">
                    <c:v>#REF!</c:v>
                  </c:pt>
                  <c:pt idx="107">
                    <c:v>#REF!</c:v>
                  </c:pt>
                  <c:pt idx="108">
                    <c:v>#REF!</c:v>
                  </c:pt>
                  <c:pt idx="109">
                    <c:v>#REF!</c:v>
                  </c:pt>
                  <c:pt idx="110">
                    <c:v>#REF!</c:v>
                  </c:pt>
                  <c:pt idx="111">
                    <c:v>#REF!</c:v>
                  </c:pt>
                  <c:pt idx="112">
                    <c:v>#REF!</c:v>
                  </c:pt>
                  <c:pt idx="113">
                    <c:v>#REF!</c:v>
                  </c:pt>
                  <c:pt idx="114">
                    <c:v>#REF!</c:v>
                  </c:pt>
                  <c:pt idx="115">
                    <c:v>#REF!</c:v>
                  </c:pt>
                  <c:pt idx="116">
                    <c:v>#REF!</c:v>
                  </c:pt>
                  <c:pt idx="117">
                    <c:v>#REF!</c:v>
                  </c:pt>
                  <c:pt idx="118">
                    <c:v>#REF!</c:v>
                  </c:pt>
                  <c:pt idx="119">
                    <c:v>#REF!</c:v>
                  </c:pt>
                  <c:pt idx="120">
                    <c:v>#REF!</c:v>
                  </c:pt>
                  <c:pt idx="121">
                    <c:v>#REF!</c:v>
                  </c:pt>
                  <c:pt idx="122">
                    <c:v>#REF!</c:v>
                  </c:pt>
                  <c:pt idx="123">
                    <c:v>#REF!</c:v>
                  </c:pt>
                  <c:pt idx="124">
                    <c:v>#REF!</c:v>
                  </c:pt>
                  <c:pt idx="125">
                    <c:v>#REF!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</c:lvl>
              </c:multiLvlStrCache>
            </c:multiLvlStrRef>
          </c:cat>
          <c:val>
            <c:numRef>
              <c:f>b_stick!$L$9:$L$134</c:f>
              <c:numCache>
                <c:formatCode>#,##0</c:formatCode>
                <c:ptCount val="1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15-433F-BBFE-9812A5B58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7756944"/>
        <c:axId val="-2107755312"/>
      </c:lineChart>
      <c:catAx>
        <c:axId val="-210775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2107755312"/>
        <c:crosses val="autoZero"/>
        <c:auto val="1"/>
        <c:lblAlgn val="ctr"/>
        <c:lblOffset val="100"/>
        <c:noMultiLvlLbl val="0"/>
      </c:catAx>
      <c:valAx>
        <c:axId val="-21077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210775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B$2" max="30000" page="10" val="6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76200</xdr:rowOff>
    </xdr:from>
    <xdr:to>
      <xdr:col>28</xdr:col>
      <xdr:colOff>38099</xdr:colOff>
      <xdr:row>61</xdr:row>
      <xdr:rowOff>19050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12</xdr:row>
          <xdr:rowOff>152400</xdr:rowOff>
        </xdr:from>
        <xdr:to>
          <xdr:col>5</xdr:col>
          <xdr:colOff>390525</xdr:colOff>
          <xdr:row>15</xdr:row>
          <xdr:rowOff>0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39220</xdr:colOff>
      <xdr:row>92</xdr:row>
      <xdr:rowOff>96370</xdr:rowOff>
    </xdr:from>
    <xdr:to>
      <xdr:col>26</xdr:col>
      <xdr:colOff>235323</xdr:colOff>
      <xdr:row>107</xdr:row>
      <xdr:rowOff>78441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89</xdr:row>
          <xdr:rowOff>19049</xdr:rowOff>
        </xdr:from>
        <xdr:to>
          <xdr:col>10</xdr:col>
          <xdr:colOff>8350</xdr:colOff>
          <xdr:row>112</xdr:row>
          <xdr:rowOff>285750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#REF!" spid="_x0000_s2309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" y="24752299"/>
              <a:ext cx="9193625" cy="86645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38101</xdr:colOff>
          <xdr:row>69</xdr:row>
          <xdr:rowOff>0</xdr:rowOff>
        </xdr:from>
        <xdr:to>
          <xdr:col>9</xdr:col>
          <xdr:colOff>942976</xdr:colOff>
          <xdr:row>87</xdr:row>
          <xdr:rowOff>333375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#REF!" spid="_x0000_s23094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101" y="16278225"/>
              <a:ext cx="9105900" cy="70199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21;&#50689;&#44288;&#47532;&#54016;\17.%20&#51648;&#49884;&#49324;&#54637;\&#48652;&#47004;&#46300;&#54016;%20&#51452;&#44036;&#50629;&#47924;\&#51452;&#44036;&#50629;&#47924;&#44228;&#5492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aily/&#51068;&#51088;&#48324;&#44288;&#46988;&#44061;(BES)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시일자별관람객"/>
      <sheetName val="주간업무회의"/>
    </sheetNames>
    <sheetDataSet>
      <sheetData sheetId="0">
        <row r="4">
          <cell r="A4">
            <v>2020</v>
          </cell>
          <cell r="C4" t="str">
            <v>2020-10-08</v>
          </cell>
          <cell r="L4">
            <v>899</v>
          </cell>
        </row>
        <row r="5">
          <cell r="C5" t="str">
            <v>2020-10-09</v>
          </cell>
          <cell r="L5">
            <v>1682</v>
          </cell>
        </row>
        <row r="6">
          <cell r="C6" t="str">
            <v>2020-10-10</v>
          </cell>
          <cell r="L6">
            <v>1564</v>
          </cell>
        </row>
        <row r="7">
          <cell r="C7" t="str">
            <v>2020-10-11</v>
          </cell>
          <cell r="L7">
            <v>1409</v>
          </cell>
        </row>
        <row r="8">
          <cell r="C8" t="str">
            <v>2020-10-12</v>
          </cell>
          <cell r="L8">
            <v>614</v>
          </cell>
        </row>
        <row r="9">
          <cell r="C9" t="str">
            <v>2020-10-13</v>
          </cell>
          <cell r="L9">
            <v>614</v>
          </cell>
        </row>
        <row r="10">
          <cell r="C10" t="str">
            <v>2020-10-14</v>
          </cell>
          <cell r="L10">
            <v>727</v>
          </cell>
        </row>
        <row r="11">
          <cell r="C11" t="str">
            <v>2020-10-15</v>
          </cell>
          <cell r="L11">
            <v>630</v>
          </cell>
        </row>
        <row r="12">
          <cell r="C12" t="str">
            <v>2020-10-16</v>
          </cell>
          <cell r="L12">
            <v>659</v>
          </cell>
        </row>
        <row r="13">
          <cell r="C13">
            <v>44121</v>
          </cell>
          <cell r="L13">
            <v>1752</v>
          </cell>
        </row>
        <row r="14">
          <cell r="C14">
            <v>44122</v>
          </cell>
          <cell r="L14">
            <v>1355</v>
          </cell>
        </row>
        <row r="15">
          <cell r="C15">
            <v>44123</v>
          </cell>
          <cell r="L15">
            <v>540</v>
          </cell>
        </row>
        <row r="16">
          <cell r="C16">
            <v>44124</v>
          </cell>
          <cell r="L16">
            <v>547</v>
          </cell>
        </row>
        <row r="17">
          <cell r="C17" t="str">
            <v>2020-10-21</v>
          </cell>
          <cell r="L17">
            <v>572</v>
          </cell>
        </row>
        <row r="18">
          <cell r="C18" t="str">
            <v>2020-10-22</v>
          </cell>
          <cell r="L18">
            <v>450</v>
          </cell>
        </row>
        <row r="19">
          <cell r="C19" t="str">
            <v>2020-10-23</v>
          </cell>
          <cell r="L19">
            <v>676</v>
          </cell>
        </row>
        <row r="20">
          <cell r="C20" t="str">
            <v>2020-10-24</v>
          </cell>
          <cell r="L20">
            <v>1741</v>
          </cell>
        </row>
        <row r="21">
          <cell r="C21" t="str">
            <v>2020-10-25</v>
          </cell>
          <cell r="L21">
            <v>1210</v>
          </cell>
        </row>
        <row r="22">
          <cell r="C22" t="str">
            <v>2020-10-26</v>
          </cell>
          <cell r="L22">
            <v>649</v>
          </cell>
        </row>
        <row r="23">
          <cell r="C23" t="str">
            <v>2020-10-27</v>
          </cell>
          <cell r="L23">
            <v>491</v>
          </cell>
        </row>
        <row r="24">
          <cell r="C24" t="str">
            <v>2020-10-28</v>
          </cell>
          <cell r="L24">
            <v>694</v>
          </cell>
        </row>
        <row r="25">
          <cell r="C25" t="str">
            <v>2020-10-29</v>
          </cell>
          <cell r="L25">
            <v>558</v>
          </cell>
        </row>
        <row r="26">
          <cell r="C26" t="str">
            <v>2020-10-30</v>
          </cell>
          <cell r="L26">
            <v>765</v>
          </cell>
        </row>
        <row r="27">
          <cell r="C27" t="str">
            <v>2020-10-31</v>
          </cell>
          <cell r="L27">
            <v>1617</v>
          </cell>
        </row>
        <row r="28">
          <cell r="C28" t="str">
            <v>2020-11-01</v>
          </cell>
          <cell r="L28">
            <v>1241</v>
          </cell>
        </row>
        <row r="29">
          <cell r="C29" t="str">
            <v>2020-11-02</v>
          </cell>
          <cell r="L29">
            <v>480</v>
          </cell>
        </row>
        <row r="30">
          <cell r="C30" t="str">
            <v>2020-11-03</v>
          </cell>
          <cell r="L30">
            <v>566</v>
          </cell>
        </row>
        <row r="31">
          <cell r="C31" t="str">
            <v>2020-11-04</v>
          </cell>
          <cell r="L31">
            <v>616</v>
          </cell>
        </row>
        <row r="32">
          <cell r="C32" t="str">
            <v>2020-11-05</v>
          </cell>
          <cell r="L32">
            <v>549</v>
          </cell>
        </row>
        <row r="33">
          <cell r="C33" t="str">
            <v>2020-11-06</v>
          </cell>
          <cell r="L33">
            <v>740</v>
          </cell>
        </row>
        <row r="34">
          <cell r="C34" t="str">
            <v>2020-11-07</v>
          </cell>
          <cell r="L34">
            <v>1556</v>
          </cell>
        </row>
        <row r="35">
          <cell r="C35" t="str">
            <v>2020-11-08</v>
          </cell>
          <cell r="L35">
            <v>1267</v>
          </cell>
        </row>
        <row r="36">
          <cell r="C36" t="str">
            <v>2020-11-09</v>
          </cell>
          <cell r="L36">
            <v>719</v>
          </cell>
        </row>
        <row r="37">
          <cell r="C37" t="str">
            <v>2020-11-10</v>
          </cell>
          <cell r="L37">
            <v>500</v>
          </cell>
        </row>
        <row r="38">
          <cell r="C38" t="str">
            <v>2020-11-11</v>
          </cell>
          <cell r="L38">
            <v>715</v>
          </cell>
        </row>
        <row r="39">
          <cell r="C39" t="str">
            <v>2020-11-12</v>
          </cell>
          <cell r="L39">
            <v>606</v>
          </cell>
        </row>
        <row r="40">
          <cell r="C40" t="str">
            <v>2020-11-13</v>
          </cell>
          <cell r="L40">
            <v>985</v>
          </cell>
        </row>
        <row r="41">
          <cell r="C41" t="str">
            <v>2020-11-14</v>
          </cell>
          <cell r="L41">
            <v>1776</v>
          </cell>
        </row>
        <row r="42">
          <cell r="C42" t="str">
            <v>2020-11-15</v>
          </cell>
          <cell r="L42">
            <v>1300</v>
          </cell>
        </row>
        <row r="43">
          <cell r="C43" t="str">
            <v>2020-11-16</v>
          </cell>
          <cell r="L43">
            <v>617</v>
          </cell>
        </row>
        <row r="44">
          <cell r="C44" t="str">
            <v>2020-11-17</v>
          </cell>
          <cell r="L44">
            <v>579</v>
          </cell>
        </row>
        <row r="45">
          <cell r="C45" t="str">
            <v>2020-11-18</v>
          </cell>
          <cell r="L45">
            <v>697</v>
          </cell>
        </row>
        <row r="46">
          <cell r="C46" t="str">
            <v>2020-11-19</v>
          </cell>
          <cell r="L46">
            <v>561</v>
          </cell>
        </row>
        <row r="47">
          <cell r="C47" t="str">
            <v>2020-11-20</v>
          </cell>
          <cell r="L47">
            <v>755</v>
          </cell>
        </row>
        <row r="48">
          <cell r="C48" t="str">
            <v>2020-11-21</v>
          </cell>
          <cell r="L48">
            <v>1461</v>
          </cell>
        </row>
        <row r="49">
          <cell r="C49" t="str">
            <v>2020-11-22</v>
          </cell>
          <cell r="L49">
            <v>989</v>
          </cell>
        </row>
        <row r="50">
          <cell r="C50" t="str">
            <v>2020-11-23</v>
          </cell>
          <cell r="L50">
            <v>512</v>
          </cell>
        </row>
        <row r="51">
          <cell r="C51" t="str">
            <v>2020-11-24</v>
          </cell>
          <cell r="L51">
            <v>435</v>
          </cell>
        </row>
        <row r="52">
          <cell r="C52" t="str">
            <v>2020-11-25</v>
          </cell>
          <cell r="L52">
            <v>435</v>
          </cell>
        </row>
        <row r="53">
          <cell r="C53" t="str">
            <v>2020-11-26</v>
          </cell>
          <cell r="L53">
            <v>374</v>
          </cell>
        </row>
        <row r="54">
          <cell r="C54" t="str">
            <v>2020-11-27</v>
          </cell>
          <cell r="L54">
            <v>410</v>
          </cell>
        </row>
        <row r="55">
          <cell r="C55" t="str">
            <v>2020-11-28</v>
          </cell>
          <cell r="L55">
            <v>764</v>
          </cell>
        </row>
        <row r="56">
          <cell r="C56" t="str">
            <v>2020-11-29</v>
          </cell>
          <cell r="L56">
            <v>650</v>
          </cell>
        </row>
        <row r="57">
          <cell r="C57" t="str">
            <v>2020-11-30</v>
          </cell>
          <cell r="L57">
            <v>346</v>
          </cell>
        </row>
        <row r="58">
          <cell r="C58" t="str">
            <v>2020-12-01</v>
          </cell>
          <cell r="L58">
            <v>240</v>
          </cell>
        </row>
        <row r="59">
          <cell r="C59" t="str">
            <v>2020-12-02</v>
          </cell>
          <cell r="L59">
            <v>221</v>
          </cell>
        </row>
        <row r="60">
          <cell r="C60" t="str">
            <v>2020-12-03</v>
          </cell>
          <cell r="L60">
            <v>301</v>
          </cell>
        </row>
        <row r="61">
          <cell r="C61" t="str">
            <v>2020-12-04</v>
          </cell>
          <cell r="L61">
            <v>383</v>
          </cell>
        </row>
        <row r="62">
          <cell r="C62" t="str">
            <v>2020-12-05</v>
          </cell>
          <cell r="L62">
            <v>534</v>
          </cell>
        </row>
        <row r="63">
          <cell r="C63" t="str">
            <v>2020-12-06</v>
          </cell>
          <cell r="L63">
            <v>412</v>
          </cell>
        </row>
        <row r="64">
          <cell r="C64" t="str">
            <v>2020-12-07</v>
          </cell>
          <cell r="L64">
            <v>217</v>
          </cell>
        </row>
        <row r="65">
          <cell r="C65" t="str">
            <v>2020-12-08</v>
          </cell>
          <cell r="L65">
            <v>167</v>
          </cell>
        </row>
        <row r="66">
          <cell r="C66" t="str">
            <v>2020-12-09</v>
          </cell>
          <cell r="L66">
            <v>187</v>
          </cell>
        </row>
        <row r="67">
          <cell r="C67" t="str">
            <v>2020-12-10</v>
          </cell>
          <cell r="L67">
            <v>180</v>
          </cell>
        </row>
        <row r="68">
          <cell r="C68" t="str">
            <v>2020-12-11</v>
          </cell>
          <cell r="L68">
            <v>246</v>
          </cell>
        </row>
        <row r="69">
          <cell r="C69" t="str">
            <v>2020-12-12</v>
          </cell>
          <cell r="L69">
            <v>439</v>
          </cell>
        </row>
        <row r="70">
          <cell r="C70" t="str">
            <v>2020-12-13</v>
          </cell>
          <cell r="L70">
            <v>248</v>
          </cell>
        </row>
        <row r="71">
          <cell r="C71" t="str">
            <v>2020-12-14</v>
          </cell>
          <cell r="L71">
            <v>151</v>
          </cell>
        </row>
        <row r="72">
          <cell r="C72" t="str">
            <v>2020-12-15</v>
          </cell>
          <cell r="L72">
            <v>173</v>
          </cell>
        </row>
        <row r="73">
          <cell r="C73" t="str">
            <v>2020-12-16</v>
          </cell>
          <cell r="L73">
            <v>129</v>
          </cell>
        </row>
        <row r="74">
          <cell r="C74" t="str">
            <v>2020-12-17</v>
          </cell>
          <cell r="L74">
            <v>156</v>
          </cell>
        </row>
        <row r="75">
          <cell r="C75" t="str">
            <v>2020-12-18</v>
          </cell>
          <cell r="L75">
            <v>211</v>
          </cell>
        </row>
        <row r="76">
          <cell r="C76" t="str">
            <v>2020-12-19</v>
          </cell>
          <cell r="L76">
            <v>278</v>
          </cell>
        </row>
        <row r="77">
          <cell r="C77" t="str">
            <v>2020-12-20</v>
          </cell>
          <cell r="L77">
            <v>291</v>
          </cell>
        </row>
        <row r="78">
          <cell r="C78" t="str">
            <v>2020-12-21</v>
          </cell>
          <cell r="L78">
            <v>195</v>
          </cell>
        </row>
        <row r="79">
          <cell r="C79" t="str">
            <v>2020-12-22</v>
          </cell>
          <cell r="L79">
            <v>172</v>
          </cell>
        </row>
        <row r="80">
          <cell r="C80" t="str">
            <v>2020-12-23</v>
          </cell>
          <cell r="L80">
            <v>164</v>
          </cell>
        </row>
        <row r="81">
          <cell r="C81" t="str">
            <v>2020-12-24</v>
          </cell>
          <cell r="L81">
            <v>247</v>
          </cell>
        </row>
        <row r="82">
          <cell r="C82" t="str">
            <v>2020-12-25</v>
          </cell>
          <cell r="L82">
            <v>415</v>
          </cell>
        </row>
        <row r="83">
          <cell r="C83" t="str">
            <v>2020-12-26</v>
          </cell>
          <cell r="L83">
            <v>250</v>
          </cell>
        </row>
        <row r="84">
          <cell r="C84" t="str">
            <v>2020-12-27</v>
          </cell>
          <cell r="L84">
            <v>263</v>
          </cell>
        </row>
        <row r="85">
          <cell r="C85" t="str">
            <v>2020-12-28</v>
          </cell>
          <cell r="L85">
            <v>219</v>
          </cell>
        </row>
        <row r="86">
          <cell r="C86" t="str">
            <v>2020-12-29</v>
          </cell>
          <cell r="L86">
            <v>252</v>
          </cell>
        </row>
        <row r="87">
          <cell r="C87" t="str">
            <v>2020-12-30</v>
          </cell>
          <cell r="L87">
            <v>278</v>
          </cell>
        </row>
        <row r="88">
          <cell r="C88" t="str">
            <v>2020-12-31</v>
          </cell>
          <cell r="L88">
            <v>293</v>
          </cell>
        </row>
        <row r="89">
          <cell r="C89" t="str">
            <v>2021-01-01</v>
          </cell>
        </row>
        <row r="90">
          <cell r="C90" t="str">
            <v>2021-01-02</v>
          </cell>
          <cell r="L90">
            <v>563</v>
          </cell>
        </row>
        <row r="91">
          <cell r="C91" t="str">
            <v>2021-01-03</v>
          </cell>
          <cell r="L91">
            <v>427</v>
          </cell>
        </row>
        <row r="92">
          <cell r="C92" t="str">
            <v>2021-01-04</v>
          </cell>
          <cell r="L92">
            <v>158</v>
          </cell>
        </row>
        <row r="93">
          <cell r="C93" t="str">
            <v>2021-01-05</v>
          </cell>
          <cell r="L93">
            <v>176</v>
          </cell>
        </row>
        <row r="94">
          <cell r="C94" t="str">
            <v>2021-01-06</v>
          </cell>
          <cell r="L94">
            <v>178</v>
          </cell>
        </row>
        <row r="95">
          <cell r="C95" t="str">
            <v>2021-01-07</v>
          </cell>
          <cell r="L95">
            <v>169</v>
          </cell>
        </row>
        <row r="96">
          <cell r="C96" t="str">
            <v>2021-01-08</v>
          </cell>
          <cell r="L96">
            <v>220</v>
          </cell>
        </row>
        <row r="97">
          <cell r="C97" t="str">
            <v>2021-01-09</v>
          </cell>
          <cell r="L97">
            <v>676</v>
          </cell>
        </row>
        <row r="98">
          <cell r="C98" t="str">
            <v>2021-01-10</v>
          </cell>
          <cell r="L98">
            <v>588</v>
          </cell>
        </row>
        <row r="99">
          <cell r="C99" t="str">
            <v>2021-01-11</v>
          </cell>
          <cell r="L99">
            <v>268</v>
          </cell>
        </row>
        <row r="100">
          <cell r="C100" t="str">
            <v>2021-01-12</v>
          </cell>
          <cell r="L100">
            <v>300</v>
          </cell>
        </row>
        <row r="101">
          <cell r="C101" t="str">
            <v>2021-01-13</v>
          </cell>
          <cell r="L101">
            <v>289</v>
          </cell>
        </row>
        <row r="102">
          <cell r="C102" t="str">
            <v>2021-01-14</v>
          </cell>
          <cell r="L102">
            <v>409</v>
          </cell>
        </row>
        <row r="103">
          <cell r="C103" t="str">
            <v>2021-01-15</v>
          </cell>
          <cell r="L103">
            <v>399</v>
          </cell>
        </row>
        <row r="104">
          <cell r="C104" t="str">
            <v>2021-01-16</v>
          </cell>
          <cell r="L104">
            <v>1151</v>
          </cell>
        </row>
        <row r="105">
          <cell r="C105" t="str">
            <v>2021-01-17</v>
          </cell>
          <cell r="L105">
            <v>834</v>
          </cell>
        </row>
        <row r="106">
          <cell r="C106" t="str">
            <v>2021-01-18</v>
          </cell>
          <cell r="L106">
            <v>293</v>
          </cell>
        </row>
        <row r="107">
          <cell r="C107" t="str">
            <v>2021-01-19</v>
          </cell>
          <cell r="L107">
            <v>420</v>
          </cell>
        </row>
        <row r="108">
          <cell r="C108" t="str">
            <v>2021-01-20</v>
          </cell>
          <cell r="L108">
            <v>527</v>
          </cell>
        </row>
        <row r="109">
          <cell r="C109" t="str">
            <v>2021-01-21</v>
          </cell>
          <cell r="L109">
            <v>473</v>
          </cell>
        </row>
        <row r="110">
          <cell r="C110" t="str">
            <v>2021-01-22</v>
          </cell>
          <cell r="L110">
            <v>712</v>
          </cell>
        </row>
        <row r="111">
          <cell r="C111" t="str">
            <v>2021-01-23</v>
          </cell>
          <cell r="L111">
            <v>1369</v>
          </cell>
        </row>
        <row r="112">
          <cell r="C112" t="str">
            <v>2021-01-24</v>
          </cell>
          <cell r="L112">
            <v>1223</v>
          </cell>
        </row>
        <row r="113">
          <cell r="C113" t="str">
            <v>2021-01-25</v>
          </cell>
          <cell r="L113">
            <v>751</v>
          </cell>
        </row>
        <row r="114">
          <cell r="C114" t="str">
            <v>2021-01-26</v>
          </cell>
          <cell r="L114">
            <v>690</v>
          </cell>
        </row>
        <row r="115">
          <cell r="C115" t="str">
            <v>2021-01-27</v>
          </cell>
          <cell r="L115">
            <v>960</v>
          </cell>
        </row>
        <row r="116">
          <cell r="C116" t="str">
            <v>2021-01-28</v>
          </cell>
          <cell r="L116">
            <v>637</v>
          </cell>
        </row>
        <row r="117">
          <cell r="C117" t="str">
            <v>2021-01-29</v>
          </cell>
          <cell r="L117">
            <v>965</v>
          </cell>
        </row>
        <row r="118">
          <cell r="C118" t="str">
            <v>2021-01-30</v>
          </cell>
          <cell r="L118">
            <v>1879</v>
          </cell>
        </row>
        <row r="119">
          <cell r="C119" t="str">
            <v>2021-01-31</v>
          </cell>
          <cell r="L119">
            <v>1832</v>
          </cell>
        </row>
        <row r="120">
          <cell r="C120" t="str">
            <v>2021-02-01</v>
          </cell>
          <cell r="L120">
            <v>1042</v>
          </cell>
        </row>
        <row r="121">
          <cell r="C121" t="str">
            <v>2021-02-02</v>
          </cell>
          <cell r="L121">
            <v>1091</v>
          </cell>
        </row>
        <row r="122">
          <cell r="C122" t="str">
            <v>2021-02-03</v>
          </cell>
          <cell r="L122">
            <v>1156</v>
          </cell>
        </row>
        <row r="123">
          <cell r="C123" t="str">
            <v>2021-02-04</v>
          </cell>
          <cell r="L123">
            <v>1170</v>
          </cell>
        </row>
        <row r="124">
          <cell r="C124" t="str">
            <v>2021-02-05</v>
          </cell>
          <cell r="L124">
            <v>1393</v>
          </cell>
        </row>
        <row r="125">
          <cell r="C125" t="str">
            <v>2021-02-06</v>
          </cell>
          <cell r="L125">
            <v>2534</v>
          </cell>
        </row>
        <row r="126">
          <cell r="C126" t="str">
            <v>2021-02-07</v>
          </cell>
          <cell r="L126">
            <v>2391</v>
          </cell>
        </row>
        <row r="127">
          <cell r="C127" t="str">
            <v>2021-02-08</v>
          </cell>
          <cell r="L127">
            <v>642</v>
          </cell>
        </row>
        <row r="128">
          <cell r="C128" t="str">
            <v>2021-02-09</v>
          </cell>
          <cell r="L128">
            <v>694</v>
          </cell>
        </row>
        <row r="129">
          <cell r="C129" t="str">
            <v>2021-02-10</v>
          </cell>
          <cell r="L129">
            <v>783</v>
          </cell>
        </row>
        <row r="130">
          <cell r="C130">
            <v>44238</v>
          </cell>
        </row>
        <row r="131">
          <cell r="C131">
            <v>44239</v>
          </cell>
        </row>
        <row r="132">
          <cell r="C132">
            <v>44240</v>
          </cell>
        </row>
        <row r="133">
          <cell r="C133">
            <v>44241</v>
          </cell>
        </row>
        <row r="134">
          <cell r="C134">
            <v>44242</v>
          </cell>
        </row>
        <row r="135">
          <cell r="C135">
            <v>44243</v>
          </cell>
        </row>
        <row r="136">
          <cell r="C136">
            <v>44244</v>
          </cell>
        </row>
        <row r="137">
          <cell r="C137">
            <v>44245</v>
          </cell>
        </row>
        <row r="138">
          <cell r="C138">
            <v>44246</v>
          </cell>
        </row>
        <row r="139">
          <cell r="C139">
            <v>44247</v>
          </cell>
        </row>
        <row r="140">
          <cell r="C140">
            <v>44248</v>
          </cell>
        </row>
        <row r="141">
          <cell r="C141">
            <v>44249</v>
          </cell>
        </row>
        <row r="142">
          <cell r="C142">
            <v>44250</v>
          </cell>
        </row>
        <row r="143">
          <cell r="C143">
            <v>44251</v>
          </cell>
        </row>
        <row r="144">
          <cell r="C144">
            <v>44252</v>
          </cell>
        </row>
        <row r="145">
          <cell r="C145">
            <v>44253</v>
          </cell>
        </row>
        <row r="146">
          <cell r="C146">
            <v>44254</v>
          </cell>
        </row>
        <row r="147">
          <cell r="C147">
            <v>44255</v>
          </cell>
        </row>
        <row r="148">
          <cell r="C148">
            <v>44256</v>
          </cell>
        </row>
        <row r="149">
          <cell r="C149">
            <v>44257</v>
          </cell>
        </row>
        <row r="150">
          <cell r="C150">
            <v>44258</v>
          </cell>
        </row>
        <row r="151">
          <cell r="C151">
            <v>44259</v>
          </cell>
        </row>
        <row r="152">
          <cell r="C152">
            <v>44260</v>
          </cell>
        </row>
        <row r="153">
          <cell r="C153">
            <v>44261</v>
          </cell>
        </row>
        <row r="154">
          <cell r="C154">
            <v>44262</v>
          </cell>
        </row>
        <row r="155">
          <cell r="C155">
            <v>44263</v>
          </cell>
        </row>
        <row r="156">
          <cell r="C156">
            <v>44264</v>
          </cell>
        </row>
        <row r="157">
          <cell r="C157">
            <v>44265</v>
          </cell>
        </row>
        <row r="158">
          <cell r="C158">
            <v>44266</v>
          </cell>
        </row>
        <row r="159">
          <cell r="C159">
            <v>44267</v>
          </cell>
        </row>
        <row r="160">
          <cell r="C160">
            <v>44268</v>
          </cell>
        </row>
        <row r="161">
          <cell r="C161">
            <v>44269</v>
          </cell>
        </row>
        <row r="162">
          <cell r="C162">
            <v>44270</v>
          </cell>
        </row>
        <row r="163">
          <cell r="C163">
            <v>44271</v>
          </cell>
        </row>
        <row r="164">
          <cell r="C164">
            <v>44272</v>
          </cell>
        </row>
        <row r="165">
          <cell r="C165">
            <v>44273</v>
          </cell>
        </row>
        <row r="166">
          <cell r="C166">
            <v>44274</v>
          </cell>
        </row>
        <row r="167">
          <cell r="C167">
            <v>44275</v>
          </cell>
        </row>
        <row r="168">
          <cell r="C168">
            <v>44276</v>
          </cell>
        </row>
        <row r="169">
          <cell r="C169">
            <v>44277</v>
          </cell>
        </row>
        <row r="170">
          <cell r="C170">
            <v>44278</v>
          </cell>
        </row>
        <row r="171">
          <cell r="C171">
            <v>44279</v>
          </cell>
        </row>
        <row r="172">
          <cell r="C172">
            <v>44280</v>
          </cell>
        </row>
        <row r="173">
          <cell r="C173">
            <v>44281</v>
          </cell>
        </row>
        <row r="174">
          <cell r="C174">
            <v>44282</v>
          </cell>
        </row>
        <row r="175">
          <cell r="C175">
            <v>44283</v>
          </cell>
        </row>
        <row r="176">
          <cell r="C176">
            <v>44284</v>
          </cell>
        </row>
        <row r="177">
          <cell r="C177">
            <v>44285</v>
          </cell>
        </row>
        <row r="178">
          <cell r="C178">
            <v>44286</v>
          </cell>
        </row>
        <row r="179">
          <cell r="C179">
            <v>44287</v>
          </cell>
        </row>
        <row r="180">
          <cell r="C180">
            <v>44288</v>
          </cell>
        </row>
        <row r="181">
          <cell r="C181">
            <v>44289</v>
          </cell>
        </row>
        <row r="182">
          <cell r="C182">
            <v>44290</v>
          </cell>
        </row>
        <row r="183">
          <cell r="C183">
            <v>44291</v>
          </cell>
        </row>
        <row r="184">
          <cell r="C184">
            <v>44292</v>
          </cell>
        </row>
        <row r="185">
          <cell r="C185">
            <v>44293</v>
          </cell>
        </row>
        <row r="186">
          <cell r="C186">
            <v>44294</v>
          </cell>
        </row>
        <row r="187">
          <cell r="C187">
            <v>44295</v>
          </cell>
        </row>
        <row r="188">
          <cell r="C188">
            <v>44296</v>
          </cell>
        </row>
        <row r="189">
          <cell r="C189">
            <v>44297</v>
          </cell>
        </row>
        <row r="190">
          <cell r="C190">
            <v>44298</v>
          </cell>
        </row>
        <row r="191">
          <cell r="C191">
            <v>44299</v>
          </cell>
        </row>
        <row r="192">
          <cell r="C192">
            <v>44300</v>
          </cell>
        </row>
        <row r="193">
          <cell r="C193">
            <v>44301</v>
          </cell>
        </row>
        <row r="194">
          <cell r="C194">
            <v>44302</v>
          </cell>
          <cell r="L194">
            <v>158</v>
          </cell>
        </row>
        <row r="195">
          <cell r="C195">
            <v>44303</v>
          </cell>
          <cell r="L195">
            <v>265</v>
          </cell>
        </row>
        <row r="196">
          <cell r="C196">
            <v>44304</v>
          </cell>
          <cell r="L196">
            <v>151</v>
          </cell>
        </row>
        <row r="197">
          <cell r="C197">
            <v>44305</v>
          </cell>
        </row>
        <row r="198">
          <cell r="C198">
            <v>44306</v>
          </cell>
          <cell r="L198">
            <v>70</v>
          </cell>
        </row>
        <row r="199">
          <cell r="C199">
            <v>44307</v>
          </cell>
          <cell r="L199">
            <v>69</v>
          </cell>
        </row>
        <row r="200">
          <cell r="C200">
            <v>44308</v>
          </cell>
          <cell r="L200">
            <v>132</v>
          </cell>
        </row>
        <row r="201">
          <cell r="C201">
            <v>44309</v>
          </cell>
          <cell r="L201">
            <v>96</v>
          </cell>
        </row>
        <row r="202">
          <cell r="C202">
            <v>44310</v>
          </cell>
          <cell r="L202">
            <v>254</v>
          </cell>
        </row>
        <row r="203">
          <cell r="C203">
            <v>44311</v>
          </cell>
          <cell r="L203">
            <v>164</v>
          </cell>
        </row>
        <row r="204">
          <cell r="C204">
            <v>44312</v>
          </cell>
          <cell r="L204">
            <v>106</v>
          </cell>
        </row>
        <row r="205">
          <cell r="C205">
            <v>44313</v>
          </cell>
          <cell r="L205">
            <v>54</v>
          </cell>
        </row>
        <row r="206">
          <cell r="C206">
            <v>44314</v>
          </cell>
          <cell r="L206">
            <v>90</v>
          </cell>
        </row>
        <row r="207">
          <cell r="C207">
            <v>44315</v>
          </cell>
          <cell r="L207">
            <v>104</v>
          </cell>
        </row>
        <row r="208">
          <cell r="C208">
            <v>44316</v>
          </cell>
          <cell r="L208">
            <v>99</v>
          </cell>
        </row>
        <row r="209">
          <cell r="C209">
            <v>44317</v>
          </cell>
          <cell r="L209">
            <v>281</v>
          </cell>
        </row>
        <row r="210">
          <cell r="C210">
            <v>44318</v>
          </cell>
          <cell r="L210">
            <v>236</v>
          </cell>
        </row>
        <row r="211">
          <cell r="C211">
            <v>44319</v>
          </cell>
          <cell r="L211">
            <v>105</v>
          </cell>
        </row>
        <row r="212">
          <cell r="C212">
            <v>44320</v>
          </cell>
          <cell r="L212">
            <v>93</v>
          </cell>
        </row>
        <row r="213">
          <cell r="C213">
            <v>44321</v>
          </cell>
          <cell r="L213">
            <v>217</v>
          </cell>
        </row>
        <row r="214">
          <cell r="C214">
            <v>44322</v>
          </cell>
          <cell r="L214">
            <v>121</v>
          </cell>
        </row>
        <row r="215">
          <cell r="C215">
            <v>44323</v>
          </cell>
          <cell r="L215">
            <v>76</v>
          </cell>
        </row>
        <row r="216">
          <cell r="C216">
            <v>44324</v>
          </cell>
          <cell r="L216">
            <v>283</v>
          </cell>
        </row>
        <row r="217">
          <cell r="C217">
            <v>44325</v>
          </cell>
          <cell r="L217">
            <v>229</v>
          </cell>
        </row>
        <row r="218">
          <cell r="C218">
            <v>44326</v>
          </cell>
          <cell r="L218">
            <v>80</v>
          </cell>
        </row>
        <row r="219">
          <cell r="C219">
            <v>44327</v>
          </cell>
          <cell r="L219">
            <v>56</v>
          </cell>
        </row>
        <row r="220">
          <cell r="C220">
            <v>44328</v>
          </cell>
          <cell r="L220">
            <v>55</v>
          </cell>
        </row>
        <row r="221">
          <cell r="C221">
            <v>44329</v>
          </cell>
          <cell r="L221">
            <v>61</v>
          </cell>
        </row>
        <row r="222">
          <cell r="C222">
            <v>44330</v>
          </cell>
          <cell r="L222">
            <v>86</v>
          </cell>
        </row>
        <row r="223">
          <cell r="C223">
            <v>44331</v>
          </cell>
          <cell r="L223">
            <v>283</v>
          </cell>
        </row>
        <row r="224">
          <cell r="C224">
            <v>44332</v>
          </cell>
          <cell r="L224">
            <v>281</v>
          </cell>
        </row>
        <row r="225">
          <cell r="C225">
            <v>44333</v>
          </cell>
          <cell r="L225">
            <v>60</v>
          </cell>
        </row>
        <row r="226">
          <cell r="C226">
            <v>44334</v>
          </cell>
          <cell r="L226">
            <v>83</v>
          </cell>
        </row>
        <row r="227">
          <cell r="C227">
            <v>44335</v>
          </cell>
          <cell r="L227">
            <v>248</v>
          </cell>
        </row>
        <row r="228">
          <cell r="C228">
            <v>44336</v>
          </cell>
          <cell r="L228">
            <v>65</v>
          </cell>
        </row>
        <row r="229">
          <cell r="C229">
            <v>44337</v>
          </cell>
          <cell r="L229">
            <v>192</v>
          </cell>
        </row>
        <row r="230">
          <cell r="C230">
            <v>44338</v>
          </cell>
          <cell r="L230">
            <v>354</v>
          </cell>
        </row>
        <row r="231">
          <cell r="C231">
            <v>44339</v>
          </cell>
          <cell r="L231">
            <v>224</v>
          </cell>
        </row>
        <row r="232">
          <cell r="C232">
            <v>44340</v>
          </cell>
        </row>
        <row r="233">
          <cell r="C233">
            <v>44341</v>
          </cell>
          <cell r="L233">
            <v>99</v>
          </cell>
        </row>
        <row r="234">
          <cell r="C234">
            <v>44342</v>
          </cell>
          <cell r="L234">
            <v>105</v>
          </cell>
        </row>
        <row r="235">
          <cell r="C235">
            <v>44343</v>
          </cell>
          <cell r="L235">
            <v>51</v>
          </cell>
        </row>
        <row r="236">
          <cell r="C236">
            <v>44344</v>
          </cell>
          <cell r="L236">
            <v>76</v>
          </cell>
        </row>
        <row r="237">
          <cell r="C237">
            <v>44345</v>
          </cell>
          <cell r="L237">
            <v>251</v>
          </cell>
        </row>
        <row r="238">
          <cell r="C238">
            <v>44346</v>
          </cell>
          <cell r="L238">
            <v>158</v>
          </cell>
        </row>
        <row r="239">
          <cell r="C239">
            <v>44347</v>
          </cell>
          <cell r="L239">
            <v>51</v>
          </cell>
        </row>
        <row r="240">
          <cell r="C240">
            <v>44348</v>
          </cell>
          <cell r="L240">
            <v>32</v>
          </cell>
        </row>
        <row r="241">
          <cell r="C241">
            <v>44349</v>
          </cell>
          <cell r="L241">
            <v>36</v>
          </cell>
        </row>
        <row r="242">
          <cell r="C242">
            <v>44350</v>
          </cell>
          <cell r="L242">
            <v>57</v>
          </cell>
        </row>
        <row r="243">
          <cell r="C243">
            <v>44351</v>
          </cell>
          <cell r="L243">
            <v>68</v>
          </cell>
        </row>
        <row r="244">
          <cell r="C244">
            <v>44352</v>
          </cell>
          <cell r="L244">
            <v>245</v>
          </cell>
        </row>
        <row r="245">
          <cell r="C245">
            <v>44353</v>
          </cell>
          <cell r="L245">
            <v>158</v>
          </cell>
        </row>
        <row r="246">
          <cell r="C246">
            <v>44354</v>
          </cell>
          <cell r="L246">
            <v>64</v>
          </cell>
        </row>
        <row r="247">
          <cell r="C247">
            <v>44355</v>
          </cell>
          <cell r="L247">
            <v>89</v>
          </cell>
        </row>
        <row r="248">
          <cell r="C248">
            <v>44356</v>
          </cell>
          <cell r="L248">
            <v>77</v>
          </cell>
        </row>
        <row r="249">
          <cell r="C249">
            <v>44357</v>
          </cell>
          <cell r="L249">
            <v>84</v>
          </cell>
        </row>
        <row r="250">
          <cell r="C250">
            <v>44358</v>
          </cell>
          <cell r="L250">
            <v>82</v>
          </cell>
        </row>
        <row r="251">
          <cell r="C251">
            <v>44359</v>
          </cell>
          <cell r="L251">
            <v>313</v>
          </cell>
        </row>
        <row r="252">
          <cell r="C252">
            <v>44360</v>
          </cell>
          <cell r="L252">
            <v>174</v>
          </cell>
        </row>
        <row r="253">
          <cell r="C253">
            <v>44361</v>
          </cell>
        </row>
        <row r="254">
          <cell r="C254">
            <v>44362</v>
          </cell>
          <cell r="L254">
            <v>69</v>
          </cell>
        </row>
        <row r="255">
          <cell r="C255">
            <v>44363</v>
          </cell>
          <cell r="L255">
            <v>62</v>
          </cell>
        </row>
        <row r="256">
          <cell r="C256">
            <v>44364</v>
          </cell>
          <cell r="L256">
            <v>115</v>
          </cell>
        </row>
        <row r="257">
          <cell r="C257">
            <v>44365</v>
          </cell>
          <cell r="L257">
            <v>130</v>
          </cell>
        </row>
        <row r="258">
          <cell r="C258">
            <v>44366</v>
          </cell>
          <cell r="L258">
            <v>337</v>
          </cell>
        </row>
        <row r="259">
          <cell r="C259">
            <v>44367</v>
          </cell>
          <cell r="L259">
            <v>214</v>
          </cell>
        </row>
        <row r="260">
          <cell r="C260">
            <v>44368</v>
          </cell>
          <cell r="L260">
            <v>141</v>
          </cell>
        </row>
        <row r="261">
          <cell r="C261">
            <v>44369</v>
          </cell>
          <cell r="L261">
            <v>82</v>
          </cell>
        </row>
        <row r="262">
          <cell r="C262">
            <v>44370</v>
          </cell>
          <cell r="L262">
            <v>79</v>
          </cell>
        </row>
        <row r="263">
          <cell r="C263">
            <v>44371</v>
          </cell>
          <cell r="L263">
            <v>146</v>
          </cell>
        </row>
        <row r="264">
          <cell r="C264">
            <v>44372</v>
          </cell>
          <cell r="L264">
            <v>132</v>
          </cell>
        </row>
        <row r="265">
          <cell r="C265">
            <v>44373</v>
          </cell>
          <cell r="L265">
            <v>543</v>
          </cell>
        </row>
        <row r="266">
          <cell r="C266">
            <v>44374</v>
          </cell>
          <cell r="L266">
            <v>353</v>
          </cell>
        </row>
        <row r="267">
          <cell r="C267">
            <v>44375</v>
          </cell>
          <cell r="L267">
            <v>150</v>
          </cell>
        </row>
        <row r="268">
          <cell r="C268">
            <v>44376</v>
          </cell>
          <cell r="L268">
            <v>87</v>
          </cell>
        </row>
        <row r="269">
          <cell r="C269">
            <v>44377</v>
          </cell>
          <cell r="L269">
            <v>241</v>
          </cell>
        </row>
        <row r="270">
          <cell r="C270">
            <v>44378</v>
          </cell>
          <cell r="L270">
            <v>238</v>
          </cell>
        </row>
        <row r="271">
          <cell r="C271">
            <v>44379</v>
          </cell>
          <cell r="L271">
            <v>251</v>
          </cell>
        </row>
        <row r="272">
          <cell r="C272">
            <v>44380</v>
          </cell>
          <cell r="L272">
            <v>656</v>
          </cell>
        </row>
        <row r="273">
          <cell r="C273">
            <v>44381</v>
          </cell>
          <cell r="L273">
            <v>473</v>
          </cell>
        </row>
        <row r="274">
          <cell r="C274">
            <v>44382</v>
          </cell>
          <cell r="L274">
            <v>220</v>
          </cell>
        </row>
        <row r="275">
          <cell r="C275">
            <v>44383</v>
          </cell>
          <cell r="L275">
            <v>256</v>
          </cell>
        </row>
        <row r="276">
          <cell r="C276">
            <v>44384</v>
          </cell>
          <cell r="L276">
            <v>216</v>
          </cell>
        </row>
        <row r="277">
          <cell r="C277">
            <v>44385</v>
          </cell>
          <cell r="L277">
            <v>338</v>
          </cell>
        </row>
        <row r="278">
          <cell r="C278">
            <v>44386</v>
          </cell>
          <cell r="L278">
            <v>354</v>
          </cell>
        </row>
        <row r="279">
          <cell r="C279">
            <v>44387</v>
          </cell>
          <cell r="L279">
            <v>760</v>
          </cell>
        </row>
        <row r="280">
          <cell r="C280">
            <v>44388</v>
          </cell>
          <cell r="L280">
            <v>639</v>
          </cell>
        </row>
        <row r="281">
          <cell r="C281">
            <v>44389</v>
          </cell>
        </row>
        <row r="282">
          <cell r="C282">
            <v>44390</v>
          </cell>
        </row>
        <row r="283">
          <cell r="C283">
            <v>44391</v>
          </cell>
        </row>
        <row r="284">
          <cell r="C284">
            <v>44392</v>
          </cell>
        </row>
        <row r="285">
          <cell r="C285">
            <v>44393</v>
          </cell>
        </row>
        <row r="286">
          <cell r="C286">
            <v>44394</v>
          </cell>
        </row>
        <row r="287">
          <cell r="C287">
            <v>44395</v>
          </cell>
        </row>
        <row r="288">
          <cell r="C288">
            <v>44396</v>
          </cell>
        </row>
        <row r="289">
          <cell r="C289">
            <v>44397</v>
          </cell>
        </row>
        <row r="290">
          <cell r="C290">
            <v>44398</v>
          </cell>
        </row>
        <row r="291">
          <cell r="C291">
            <v>44399</v>
          </cell>
        </row>
        <row r="292">
          <cell r="C292">
            <v>44400</v>
          </cell>
        </row>
        <row r="293">
          <cell r="C293">
            <v>44401</v>
          </cell>
        </row>
        <row r="294">
          <cell r="C294">
            <v>44402</v>
          </cell>
        </row>
        <row r="295">
          <cell r="C295">
            <v>44403</v>
          </cell>
        </row>
        <row r="296">
          <cell r="C296">
            <v>44404</v>
          </cell>
        </row>
        <row r="297">
          <cell r="C297">
            <v>44405</v>
          </cell>
        </row>
        <row r="298">
          <cell r="C298">
            <v>44406</v>
          </cell>
        </row>
        <row r="299">
          <cell r="C299">
            <v>44407</v>
          </cell>
        </row>
        <row r="300">
          <cell r="C300">
            <v>44408</v>
          </cell>
        </row>
        <row r="301">
          <cell r="C301">
            <v>44409</v>
          </cell>
        </row>
        <row r="302">
          <cell r="C302">
            <v>44410</v>
          </cell>
        </row>
        <row r="303">
          <cell r="C303">
            <v>44411</v>
          </cell>
        </row>
        <row r="304">
          <cell r="C304">
            <v>44412</v>
          </cell>
        </row>
        <row r="305">
          <cell r="C305">
            <v>44413</v>
          </cell>
        </row>
        <row r="306">
          <cell r="C306">
            <v>44414</v>
          </cell>
        </row>
        <row r="307">
          <cell r="C307">
            <v>44415</v>
          </cell>
        </row>
        <row r="308">
          <cell r="C308">
            <v>44416</v>
          </cell>
        </row>
        <row r="309">
          <cell r="C309">
            <v>44417</v>
          </cell>
        </row>
        <row r="310">
          <cell r="C310">
            <v>44418</v>
          </cell>
        </row>
        <row r="311">
          <cell r="C311">
            <v>44419</v>
          </cell>
        </row>
        <row r="312">
          <cell r="C312">
            <v>44420</v>
          </cell>
        </row>
        <row r="313">
          <cell r="C313">
            <v>44421</v>
          </cell>
        </row>
        <row r="314">
          <cell r="C314">
            <v>44422</v>
          </cell>
        </row>
        <row r="315">
          <cell r="C315">
            <v>44423</v>
          </cell>
        </row>
        <row r="316">
          <cell r="C316">
            <v>44424</v>
          </cell>
        </row>
        <row r="317">
          <cell r="C317">
            <v>44425</v>
          </cell>
        </row>
        <row r="318">
          <cell r="C318">
            <v>44426</v>
          </cell>
        </row>
        <row r="319">
          <cell r="C319">
            <v>44427</v>
          </cell>
        </row>
        <row r="320">
          <cell r="C320">
            <v>44428</v>
          </cell>
        </row>
        <row r="321">
          <cell r="C321">
            <v>44429</v>
          </cell>
        </row>
        <row r="322">
          <cell r="C322">
            <v>44430</v>
          </cell>
        </row>
        <row r="323">
          <cell r="C323">
            <v>44431</v>
          </cell>
        </row>
        <row r="324">
          <cell r="C324">
            <v>44432</v>
          </cell>
        </row>
        <row r="325">
          <cell r="C325">
            <v>44433</v>
          </cell>
        </row>
        <row r="326">
          <cell r="C326">
            <v>44434</v>
          </cell>
        </row>
        <row r="327">
          <cell r="C327">
            <v>44435</v>
          </cell>
        </row>
        <row r="328">
          <cell r="C328">
            <v>44436</v>
          </cell>
        </row>
        <row r="329">
          <cell r="C329">
            <v>44437</v>
          </cell>
        </row>
        <row r="330">
          <cell r="C330">
            <v>44438</v>
          </cell>
        </row>
        <row r="331">
          <cell r="C331">
            <v>44439</v>
          </cell>
        </row>
        <row r="332">
          <cell r="C332">
            <v>44440</v>
          </cell>
        </row>
        <row r="333">
          <cell r="C333">
            <v>44441</v>
          </cell>
        </row>
        <row r="334">
          <cell r="C334">
            <v>44442</v>
          </cell>
        </row>
        <row r="335">
          <cell r="C335">
            <v>44443</v>
          </cell>
        </row>
        <row r="336">
          <cell r="C336">
            <v>44444</v>
          </cell>
        </row>
        <row r="337">
          <cell r="C337">
            <v>44445</v>
          </cell>
        </row>
        <row r="338">
          <cell r="C338">
            <v>44446</v>
          </cell>
        </row>
        <row r="339">
          <cell r="C339">
            <v>44447</v>
          </cell>
        </row>
        <row r="340">
          <cell r="C340">
            <v>44448</v>
          </cell>
        </row>
        <row r="341">
          <cell r="C341">
            <v>44449</v>
          </cell>
        </row>
        <row r="342">
          <cell r="C342">
            <v>44450</v>
          </cell>
        </row>
        <row r="343">
          <cell r="C343">
            <v>44451</v>
          </cell>
        </row>
        <row r="344">
          <cell r="C344">
            <v>44452</v>
          </cell>
        </row>
        <row r="345">
          <cell r="C345">
            <v>44453</v>
          </cell>
        </row>
        <row r="346">
          <cell r="C346">
            <v>44454</v>
          </cell>
        </row>
        <row r="347">
          <cell r="C347">
            <v>44455</v>
          </cell>
        </row>
        <row r="348">
          <cell r="C348">
            <v>44456</v>
          </cell>
        </row>
        <row r="349">
          <cell r="C349">
            <v>44457</v>
          </cell>
        </row>
        <row r="350">
          <cell r="C350">
            <v>44458</v>
          </cell>
        </row>
        <row r="351">
          <cell r="C351">
            <v>44459</v>
          </cell>
        </row>
        <row r="352">
          <cell r="C352">
            <v>44460</v>
          </cell>
        </row>
        <row r="353">
          <cell r="C353">
            <v>44461</v>
          </cell>
        </row>
        <row r="354">
          <cell r="C354">
            <v>44462</v>
          </cell>
        </row>
        <row r="355">
          <cell r="C355">
            <v>44463</v>
          </cell>
        </row>
        <row r="356">
          <cell r="C356">
            <v>44464</v>
          </cell>
        </row>
        <row r="357">
          <cell r="C357">
            <v>44465</v>
          </cell>
        </row>
        <row r="358">
          <cell r="C358">
            <v>44466</v>
          </cell>
        </row>
        <row r="359">
          <cell r="C359">
            <v>44467</v>
          </cell>
        </row>
        <row r="360">
          <cell r="C360">
            <v>44468</v>
          </cell>
        </row>
        <row r="361">
          <cell r="C361">
            <v>44469</v>
          </cell>
          <cell r="L361">
            <v>89</v>
          </cell>
        </row>
        <row r="362">
          <cell r="C362">
            <v>44470</v>
          </cell>
          <cell r="L362">
            <v>98</v>
          </cell>
        </row>
        <row r="363">
          <cell r="C363">
            <v>44471</v>
          </cell>
          <cell r="L363">
            <v>188</v>
          </cell>
        </row>
        <row r="364">
          <cell r="C364">
            <v>44472</v>
          </cell>
          <cell r="L364">
            <v>158</v>
          </cell>
        </row>
        <row r="365">
          <cell r="C365">
            <v>44473</v>
          </cell>
          <cell r="L365">
            <v>181</v>
          </cell>
        </row>
        <row r="366">
          <cell r="C366">
            <v>44474</v>
          </cell>
          <cell r="L366">
            <v>36</v>
          </cell>
        </row>
        <row r="367">
          <cell r="C367">
            <v>44475</v>
          </cell>
          <cell r="L367">
            <v>60</v>
          </cell>
        </row>
        <row r="368">
          <cell r="C368">
            <v>44476</v>
          </cell>
          <cell r="L368">
            <v>73</v>
          </cell>
        </row>
        <row r="369">
          <cell r="C369">
            <v>44477</v>
          </cell>
          <cell r="L369">
            <v>110</v>
          </cell>
        </row>
        <row r="370">
          <cell r="C370">
            <v>44478</v>
          </cell>
          <cell r="L370">
            <v>344</v>
          </cell>
        </row>
        <row r="371">
          <cell r="C371">
            <v>44479</v>
          </cell>
          <cell r="L371">
            <v>356</v>
          </cell>
        </row>
        <row r="372">
          <cell r="C372">
            <v>44480</v>
          </cell>
          <cell r="L372">
            <v>225</v>
          </cell>
        </row>
        <row r="373">
          <cell r="C373">
            <v>44481</v>
          </cell>
          <cell r="L373">
            <v>38</v>
          </cell>
        </row>
        <row r="374">
          <cell r="C374">
            <v>44482</v>
          </cell>
          <cell r="L374">
            <v>72</v>
          </cell>
        </row>
        <row r="375">
          <cell r="C375">
            <v>44483</v>
          </cell>
          <cell r="L375">
            <v>44</v>
          </cell>
        </row>
        <row r="376">
          <cell r="C376">
            <v>44484</v>
          </cell>
          <cell r="L376">
            <v>82</v>
          </cell>
        </row>
        <row r="377">
          <cell r="C377">
            <v>44485</v>
          </cell>
          <cell r="L377">
            <v>331</v>
          </cell>
        </row>
        <row r="378">
          <cell r="C378">
            <v>44486</v>
          </cell>
          <cell r="L378">
            <v>265</v>
          </cell>
        </row>
        <row r="379">
          <cell r="C379">
            <v>44487</v>
          </cell>
        </row>
        <row r="380">
          <cell r="C380">
            <v>44488</v>
          </cell>
          <cell r="L380">
            <v>60</v>
          </cell>
        </row>
        <row r="381">
          <cell r="C381">
            <v>44489</v>
          </cell>
          <cell r="L381">
            <v>65</v>
          </cell>
        </row>
        <row r="382">
          <cell r="C382">
            <v>44490</v>
          </cell>
          <cell r="L382">
            <v>64</v>
          </cell>
        </row>
        <row r="383">
          <cell r="C383">
            <v>44491</v>
          </cell>
          <cell r="L383">
            <v>110</v>
          </cell>
        </row>
        <row r="384">
          <cell r="C384">
            <v>44492</v>
          </cell>
          <cell r="L384">
            <v>320</v>
          </cell>
        </row>
        <row r="385">
          <cell r="C385">
            <v>44493</v>
          </cell>
          <cell r="L385">
            <v>280</v>
          </cell>
        </row>
        <row r="386">
          <cell r="C386">
            <v>44494</v>
          </cell>
          <cell r="L386">
            <v>78</v>
          </cell>
        </row>
        <row r="387">
          <cell r="C387">
            <v>44495</v>
          </cell>
          <cell r="L387">
            <v>54</v>
          </cell>
        </row>
        <row r="388">
          <cell r="C388">
            <v>44496</v>
          </cell>
          <cell r="L388">
            <v>176</v>
          </cell>
        </row>
        <row r="389">
          <cell r="C389">
            <v>44497</v>
          </cell>
          <cell r="L389">
            <v>55</v>
          </cell>
        </row>
        <row r="390">
          <cell r="C390">
            <v>44498</v>
          </cell>
          <cell r="L390">
            <v>134</v>
          </cell>
        </row>
        <row r="391">
          <cell r="C391">
            <v>44499</v>
          </cell>
          <cell r="L391">
            <v>349</v>
          </cell>
        </row>
        <row r="392">
          <cell r="C392">
            <v>44500</v>
          </cell>
          <cell r="L392">
            <v>407</v>
          </cell>
        </row>
        <row r="393">
          <cell r="C393">
            <v>44501</v>
          </cell>
          <cell r="L393">
            <v>60</v>
          </cell>
        </row>
        <row r="394">
          <cell r="C394">
            <v>44502</v>
          </cell>
          <cell r="L394">
            <v>61</v>
          </cell>
        </row>
        <row r="395">
          <cell r="C395">
            <v>44503</v>
          </cell>
          <cell r="L395">
            <v>96</v>
          </cell>
        </row>
        <row r="396">
          <cell r="C396">
            <v>44504</v>
          </cell>
          <cell r="L396">
            <v>85</v>
          </cell>
        </row>
        <row r="397">
          <cell r="C397">
            <v>44505</v>
          </cell>
          <cell r="L397">
            <v>155</v>
          </cell>
        </row>
        <row r="398">
          <cell r="C398">
            <v>44506</v>
          </cell>
          <cell r="L398">
            <v>372</v>
          </cell>
        </row>
        <row r="399">
          <cell r="C399">
            <v>44507</v>
          </cell>
          <cell r="L399">
            <v>355</v>
          </cell>
        </row>
        <row r="400">
          <cell r="C400">
            <v>44508</v>
          </cell>
        </row>
        <row r="401">
          <cell r="C401">
            <v>44509</v>
          </cell>
          <cell r="L401">
            <v>106</v>
          </cell>
        </row>
        <row r="402">
          <cell r="C402">
            <v>44510</v>
          </cell>
          <cell r="L402">
            <v>157</v>
          </cell>
        </row>
        <row r="403">
          <cell r="C403">
            <v>44511</v>
          </cell>
          <cell r="L403">
            <v>133</v>
          </cell>
        </row>
        <row r="404">
          <cell r="C404">
            <v>44512</v>
          </cell>
          <cell r="L404">
            <v>177</v>
          </cell>
        </row>
        <row r="405">
          <cell r="C405">
            <v>44513</v>
          </cell>
          <cell r="L405">
            <v>465</v>
          </cell>
        </row>
        <row r="406">
          <cell r="C406">
            <v>44514</v>
          </cell>
          <cell r="L406">
            <v>361</v>
          </cell>
        </row>
        <row r="407">
          <cell r="C407">
            <v>44515</v>
          </cell>
          <cell r="L407">
            <v>123</v>
          </cell>
        </row>
        <row r="408">
          <cell r="C408">
            <v>44516</v>
          </cell>
          <cell r="L408">
            <v>121</v>
          </cell>
        </row>
        <row r="409">
          <cell r="C409">
            <v>44517</v>
          </cell>
          <cell r="L409">
            <v>118</v>
          </cell>
        </row>
        <row r="410">
          <cell r="C410">
            <v>44518</v>
          </cell>
          <cell r="L410">
            <v>127</v>
          </cell>
        </row>
        <row r="411">
          <cell r="C411">
            <v>44519</v>
          </cell>
          <cell r="L411">
            <v>244</v>
          </cell>
        </row>
        <row r="412">
          <cell r="C412">
            <v>44520</v>
          </cell>
          <cell r="L412">
            <v>569</v>
          </cell>
        </row>
        <row r="413">
          <cell r="C413">
            <v>44521</v>
          </cell>
          <cell r="L413">
            <v>527</v>
          </cell>
        </row>
        <row r="414">
          <cell r="C414">
            <v>44522</v>
          </cell>
          <cell r="L414">
            <v>124</v>
          </cell>
        </row>
        <row r="415">
          <cell r="C415">
            <v>44523</v>
          </cell>
          <cell r="L415">
            <v>202</v>
          </cell>
        </row>
        <row r="416">
          <cell r="C416">
            <v>44524</v>
          </cell>
          <cell r="L416">
            <v>252</v>
          </cell>
        </row>
        <row r="417">
          <cell r="C417">
            <v>44525</v>
          </cell>
          <cell r="L417">
            <v>122</v>
          </cell>
        </row>
        <row r="418">
          <cell r="C418">
            <v>44526</v>
          </cell>
          <cell r="L418">
            <v>243</v>
          </cell>
        </row>
        <row r="419">
          <cell r="C419">
            <v>44527</v>
          </cell>
          <cell r="L419">
            <v>561</v>
          </cell>
        </row>
        <row r="420">
          <cell r="C420">
            <v>44528</v>
          </cell>
          <cell r="L420">
            <v>515</v>
          </cell>
        </row>
        <row r="421">
          <cell r="C421">
            <v>44529</v>
          </cell>
          <cell r="L421">
            <v>179</v>
          </cell>
        </row>
        <row r="422">
          <cell r="C422">
            <v>44530</v>
          </cell>
          <cell r="L422">
            <v>169</v>
          </cell>
        </row>
        <row r="423">
          <cell r="C423">
            <v>44531</v>
          </cell>
          <cell r="L423">
            <v>216</v>
          </cell>
        </row>
        <row r="424">
          <cell r="C424">
            <v>44532</v>
          </cell>
          <cell r="L424">
            <v>109</v>
          </cell>
        </row>
        <row r="425">
          <cell r="C425">
            <v>44533</v>
          </cell>
          <cell r="L425">
            <v>152</v>
          </cell>
        </row>
        <row r="426">
          <cell r="C426">
            <v>44534</v>
          </cell>
          <cell r="L426">
            <v>493</v>
          </cell>
        </row>
        <row r="427">
          <cell r="C427">
            <v>44535</v>
          </cell>
          <cell r="L427">
            <v>388</v>
          </cell>
        </row>
        <row r="428">
          <cell r="C428">
            <v>44536</v>
          </cell>
          <cell r="L428">
            <v>108</v>
          </cell>
        </row>
        <row r="429">
          <cell r="C429">
            <v>44537</v>
          </cell>
          <cell r="L429">
            <v>92</v>
          </cell>
        </row>
        <row r="430">
          <cell r="C430">
            <v>44538</v>
          </cell>
          <cell r="L430">
            <v>70</v>
          </cell>
        </row>
        <row r="431">
          <cell r="C431">
            <v>44539</v>
          </cell>
          <cell r="L431">
            <v>100</v>
          </cell>
        </row>
        <row r="432">
          <cell r="C432">
            <v>44540</v>
          </cell>
          <cell r="L432">
            <v>134</v>
          </cell>
        </row>
        <row r="433">
          <cell r="C433">
            <v>44541</v>
          </cell>
          <cell r="L433">
            <v>316</v>
          </cell>
        </row>
        <row r="434">
          <cell r="C434">
            <v>44542</v>
          </cell>
          <cell r="L434">
            <v>302</v>
          </cell>
        </row>
        <row r="435">
          <cell r="C435">
            <v>44543</v>
          </cell>
          <cell r="L435">
            <v>96</v>
          </cell>
        </row>
        <row r="436">
          <cell r="C436">
            <v>44544</v>
          </cell>
          <cell r="L436">
            <v>63</v>
          </cell>
        </row>
        <row r="437">
          <cell r="C437">
            <v>44545</v>
          </cell>
          <cell r="L437">
            <v>102</v>
          </cell>
        </row>
        <row r="438">
          <cell r="C438">
            <v>44546</v>
          </cell>
          <cell r="L438">
            <v>133</v>
          </cell>
        </row>
        <row r="439">
          <cell r="C439">
            <v>44547</v>
          </cell>
          <cell r="L439">
            <v>119</v>
          </cell>
        </row>
        <row r="440">
          <cell r="C440">
            <v>44548</v>
          </cell>
          <cell r="L440">
            <v>358</v>
          </cell>
        </row>
        <row r="441">
          <cell r="C441">
            <v>44549</v>
          </cell>
          <cell r="L441">
            <v>376</v>
          </cell>
        </row>
        <row r="442">
          <cell r="C442">
            <v>44550</v>
          </cell>
          <cell r="L442">
            <v>130</v>
          </cell>
        </row>
        <row r="443">
          <cell r="C443">
            <v>44551</v>
          </cell>
          <cell r="L443">
            <v>166</v>
          </cell>
        </row>
        <row r="444">
          <cell r="C444">
            <v>44552</v>
          </cell>
          <cell r="L444">
            <v>201</v>
          </cell>
        </row>
        <row r="445">
          <cell r="C445">
            <v>44553</v>
          </cell>
          <cell r="L445">
            <v>185</v>
          </cell>
        </row>
        <row r="446">
          <cell r="C446">
            <v>44554</v>
          </cell>
          <cell r="L446">
            <v>257</v>
          </cell>
        </row>
        <row r="447">
          <cell r="C447">
            <v>44555</v>
          </cell>
          <cell r="L447">
            <v>578</v>
          </cell>
        </row>
        <row r="448">
          <cell r="C448">
            <v>44556</v>
          </cell>
          <cell r="L448">
            <v>432</v>
          </cell>
        </row>
        <row r="449">
          <cell r="C449">
            <v>44557</v>
          </cell>
          <cell r="L449">
            <v>305</v>
          </cell>
        </row>
        <row r="450">
          <cell r="C450">
            <v>44558</v>
          </cell>
          <cell r="L450">
            <v>332</v>
          </cell>
        </row>
        <row r="451">
          <cell r="C451">
            <v>44559</v>
          </cell>
          <cell r="L451">
            <v>633</v>
          </cell>
        </row>
        <row r="452">
          <cell r="C452">
            <v>44560</v>
          </cell>
          <cell r="L452">
            <v>503</v>
          </cell>
        </row>
        <row r="453">
          <cell r="C453">
            <v>44561</v>
          </cell>
          <cell r="L453">
            <v>539</v>
          </cell>
        </row>
        <row r="454">
          <cell r="C454">
            <v>44562</v>
          </cell>
        </row>
        <row r="455">
          <cell r="C455">
            <v>44563</v>
          </cell>
          <cell r="L455">
            <v>1215</v>
          </cell>
        </row>
        <row r="456">
          <cell r="C456">
            <v>44564</v>
          </cell>
          <cell r="L456">
            <v>121</v>
          </cell>
        </row>
        <row r="457">
          <cell r="C457">
            <v>44565</v>
          </cell>
          <cell r="L457">
            <v>239</v>
          </cell>
        </row>
        <row r="458">
          <cell r="C458">
            <v>44566</v>
          </cell>
          <cell r="L458">
            <v>390</v>
          </cell>
        </row>
        <row r="459">
          <cell r="C459">
            <v>44567</v>
          </cell>
          <cell r="L459">
            <v>400</v>
          </cell>
        </row>
        <row r="460">
          <cell r="C460">
            <v>44568</v>
          </cell>
          <cell r="L460">
            <v>493</v>
          </cell>
        </row>
        <row r="461">
          <cell r="C461">
            <v>44569</v>
          </cell>
          <cell r="L461">
            <v>1009</v>
          </cell>
        </row>
        <row r="462">
          <cell r="C462">
            <v>44570</v>
          </cell>
          <cell r="L462">
            <v>1089</v>
          </cell>
        </row>
        <row r="463">
          <cell r="C463">
            <v>44571</v>
          </cell>
        </row>
        <row r="464">
          <cell r="C464">
            <v>44572</v>
          </cell>
        </row>
        <row r="465">
          <cell r="C465">
            <v>44573</v>
          </cell>
        </row>
        <row r="466">
          <cell r="C466">
            <v>44574</v>
          </cell>
        </row>
        <row r="467">
          <cell r="C467">
            <v>44575</v>
          </cell>
        </row>
        <row r="468">
          <cell r="C468">
            <v>44576</v>
          </cell>
        </row>
        <row r="469">
          <cell r="C469">
            <v>44577</v>
          </cell>
        </row>
        <row r="470">
          <cell r="C470">
            <v>44578</v>
          </cell>
        </row>
        <row r="471">
          <cell r="C471">
            <v>44579</v>
          </cell>
        </row>
        <row r="472">
          <cell r="C472">
            <v>44580</v>
          </cell>
        </row>
        <row r="473">
          <cell r="C473">
            <v>44581</v>
          </cell>
        </row>
        <row r="474">
          <cell r="C474">
            <v>44582</v>
          </cell>
        </row>
        <row r="475">
          <cell r="C475">
            <v>44583</v>
          </cell>
        </row>
        <row r="476">
          <cell r="C476">
            <v>44584</v>
          </cell>
        </row>
        <row r="477">
          <cell r="C477">
            <v>44585</v>
          </cell>
        </row>
        <row r="478">
          <cell r="C478">
            <v>44586</v>
          </cell>
        </row>
        <row r="479">
          <cell r="C479">
            <v>44587</v>
          </cell>
        </row>
        <row r="480">
          <cell r="C480">
            <v>44588</v>
          </cell>
        </row>
        <row r="481">
          <cell r="C481">
            <v>44589</v>
          </cell>
        </row>
        <row r="482">
          <cell r="C482">
            <v>44590</v>
          </cell>
        </row>
        <row r="483">
          <cell r="C483">
            <v>44591</v>
          </cell>
        </row>
        <row r="484">
          <cell r="C484">
            <v>44592</v>
          </cell>
        </row>
        <row r="485">
          <cell r="C485">
            <v>44593</v>
          </cell>
        </row>
        <row r="486">
          <cell r="C486">
            <v>44594</v>
          </cell>
        </row>
        <row r="487">
          <cell r="C487">
            <v>44595</v>
          </cell>
        </row>
        <row r="488">
          <cell r="C488">
            <v>44596</v>
          </cell>
        </row>
        <row r="489">
          <cell r="C489">
            <v>44597</v>
          </cell>
        </row>
        <row r="490">
          <cell r="C490">
            <v>44598</v>
          </cell>
        </row>
        <row r="491">
          <cell r="C491">
            <v>44599</v>
          </cell>
        </row>
        <row r="492">
          <cell r="C492">
            <v>44600</v>
          </cell>
        </row>
        <row r="493">
          <cell r="C493">
            <v>44601</v>
          </cell>
        </row>
        <row r="494">
          <cell r="C494">
            <v>44602</v>
          </cell>
        </row>
        <row r="495">
          <cell r="C495">
            <v>44603</v>
          </cell>
        </row>
        <row r="496">
          <cell r="C496">
            <v>44604</v>
          </cell>
        </row>
        <row r="497">
          <cell r="C497">
            <v>44605</v>
          </cell>
        </row>
        <row r="498">
          <cell r="C498">
            <v>44606</v>
          </cell>
        </row>
        <row r="499">
          <cell r="C499">
            <v>44607</v>
          </cell>
        </row>
        <row r="500">
          <cell r="C500">
            <v>44608</v>
          </cell>
        </row>
        <row r="501">
          <cell r="C501">
            <v>44609</v>
          </cell>
        </row>
        <row r="502">
          <cell r="C502">
            <v>44610</v>
          </cell>
        </row>
        <row r="503">
          <cell r="C503">
            <v>44611</v>
          </cell>
        </row>
        <row r="504">
          <cell r="C504">
            <v>44612</v>
          </cell>
        </row>
        <row r="505">
          <cell r="C505">
            <v>44613</v>
          </cell>
        </row>
        <row r="506">
          <cell r="C506">
            <v>44614</v>
          </cell>
        </row>
        <row r="507">
          <cell r="C507">
            <v>44615</v>
          </cell>
        </row>
        <row r="508">
          <cell r="C508">
            <v>44616</v>
          </cell>
        </row>
        <row r="509">
          <cell r="C509">
            <v>44617</v>
          </cell>
        </row>
        <row r="510">
          <cell r="C510">
            <v>44618</v>
          </cell>
        </row>
        <row r="511">
          <cell r="C511">
            <v>44619</v>
          </cell>
        </row>
        <row r="512">
          <cell r="C512">
            <v>44620</v>
          </cell>
          <cell r="L512">
            <v>285</v>
          </cell>
        </row>
        <row r="513">
          <cell r="C513">
            <v>44621</v>
          </cell>
          <cell r="L513">
            <v>356</v>
          </cell>
        </row>
        <row r="514">
          <cell r="C514">
            <v>44622</v>
          </cell>
          <cell r="L514">
            <v>130</v>
          </cell>
        </row>
        <row r="515">
          <cell r="C515">
            <v>44623</v>
          </cell>
          <cell r="L515">
            <v>107</v>
          </cell>
        </row>
        <row r="516">
          <cell r="C516">
            <v>44624</v>
          </cell>
          <cell r="L516">
            <v>143</v>
          </cell>
        </row>
        <row r="517">
          <cell r="C517">
            <v>44625</v>
          </cell>
          <cell r="L517">
            <v>509</v>
          </cell>
        </row>
        <row r="518">
          <cell r="C518">
            <v>44626</v>
          </cell>
          <cell r="L518">
            <v>390</v>
          </cell>
        </row>
        <row r="519">
          <cell r="C519">
            <v>44627</v>
          </cell>
        </row>
        <row r="520">
          <cell r="C520">
            <v>44628</v>
          </cell>
          <cell r="L520">
            <v>129</v>
          </cell>
        </row>
        <row r="521">
          <cell r="C521">
            <v>44629</v>
          </cell>
          <cell r="L521">
            <v>469</v>
          </cell>
        </row>
        <row r="522">
          <cell r="C522">
            <v>44630</v>
          </cell>
          <cell r="L522">
            <v>135</v>
          </cell>
        </row>
        <row r="523">
          <cell r="C523">
            <v>44631</v>
          </cell>
          <cell r="L523">
            <v>181</v>
          </cell>
        </row>
        <row r="524">
          <cell r="C524">
            <v>44632</v>
          </cell>
          <cell r="L524">
            <v>569</v>
          </cell>
        </row>
        <row r="525">
          <cell r="C525">
            <v>44633</v>
          </cell>
          <cell r="L525">
            <v>470</v>
          </cell>
        </row>
        <row r="526">
          <cell r="C526">
            <v>44634</v>
          </cell>
          <cell r="L526">
            <v>131</v>
          </cell>
        </row>
        <row r="527">
          <cell r="C527">
            <v>44635</v>
          </cell>
          <cell r="L527">
            <v>137</v>
          </cell>
        </row>
        <row r="528">
          <cell r="C528">
            <v>44636</v>
          </cell>
          <cell r="L528">
            <v>174</v>
          </cell>
        </row>
        <row r="529">
          <cell r="C529">
            <v>44637</v>
          </cell>
          <cell r="L529">
            <v>119</v>
          </cell>
        </row>
        <row r="530">
          <cell r="C530">
            <v>44638</v>
          </cell>
          <cell r="L530">
            <v>230</v>
          </cell>
        </row>
        <row r="531">
          <cell r="C531">
            <v>44639</v>
          </cell>
          <cell r="L531">
            <v>661</v>
          </cell>
        </row>
        <row r="532">
          <cell r="C532">
            <v>44640</v>
          </cell>
          <cell r="L532">
            <v>559</v>
          </cell>
        </row>
        <row r="533">
          <cell r="C533">
            <v>44641</v>
          </cell>
          <cell r="L533">
            <v>202</v>
          </cell>
        </row>
        <row r="534">
          <cell r="C534">
            <v>44642</v>
          </cell>
          <cell r="L534">
            <v>184</v>
          </cell>
        </row>
        <row r="535">
          <cell r="C535">
            <v>44643</v>
          </cell>
          <cell r="L535">
            <v>128</v>
          </cell>
        </row>
        <row r="536">
          <cell r="C536">
            <v>44644</v>
          </cell>
          <cell r="L536">
            <v>160</v>
          </cell>
        </row>
        <row r="537">
          <cell r="C537">
            <v>44645</v>
          </cell>
          <cell r="L537">
            <v>203</v>
          </cell>
        </row>
        <row r="538">
          <cell r="C538">
            <v>44646</v>
          </cell>
          <cell r="L538">
            <v>841</v>
          </cell>
        </row>
        <row r="539">
          <cell r="C539">
            <v>44647</v>
          </cell>
          <cell r="L539">
            <v>701</v>
          </cell>
        </row>
        <row r="540">
          <cell r="C540">
            <v>44648</v>
          </cell>
          <cell r="L540">
            <v>250</v>
          </cell>
        </row>
        <row r="541">
          <cell r="C541">
            <v>44649</v>
          </cell>
          <cell r="L541">
            <v>240</v>
          </cell>
        </row>
        <row r="542">
          <cell r="C542">
            <v>44650</v>
          </cell>
          <cell r="L542">
            <v>419</v>
          </cell>
        </row>
        <row r="543">
          <cell r="C543">
            <v>44651</v>
          </cell>
          <cell r="L543">
            <v>457</v>
          </cell>
        </row>
        <row r="544">
          <cell r="C544">
            <v>44652</v>
          </cell>
          <cell r="L544">
            <v>210</v>
          </cell>
        </row>
        <row r="545">
          <cell r="C545">
            <v>44653</v>
          </cell>
          <cell r="L545">
            <v>558</v>
          </cell>
        </row>
        <row r="546">
          <cell r="C546">
            <v>44654</v>
          </cell>
          <cell r="L546">
            <v>423</v>
          </cell>
        </row>
        <row r="547">
          <cell r="C547">
            <v>44655</v>
          </cell>
          <cell r="L547">
            <v>160</v>
          </cell>
        </row>
        <row r="548">
          <cell r="C548">
            <v>44656</v>
          </cell>
          <cell r="L548">
            <v>194</v>
          </cell>
        </row>
        <row r="549">
          <cell r="C549">
            <v>44657</v>
          </cell>
          <cell r="L549">
            <v>163</v>
          </cell>
        </row>
        <row r="550">
          <cell r="C550">
            <v>44658</v>
          </cell>
          <cell r="L550">
            <v>182</v>
          </cell>
        </row>
        <row r="551">
          <cell r="C551">
            <v>44659</v>
          </cell>
          <cell r="L551">
            <v>274</v>
          </cell>
        </row>
        <row r="552">
          <cell r="C552">
            <v>44660</v>
          </cell>
          <cell r="L552">
            <v>656</v>
          </cell>
        </row>
        <row r="553">
          <cell r="C553">
            <v>44661</v>
          </cell>
          <cell r="L553">
            <v>406</v>
          </cell>
        </row>
        <row r="554">
          <cell r="C554">
            <v>44662</v>
          </cell>
          <cell r="L554">
            <v>173</v>
          </cell>
        </row>
        <row r="555">
          <cell r="C555">
            <v>44663</v>
          </cell>
          <cell r="L555">
            <v>170</v>
          </cell>
        </row>
        <row r="556">
          <cell r="C556">
            <v>44664</v>
          </cell>
          <cell r="L556">
            <v>138</v>
          </cell>
        </row>
        <row r="557">
          <cell r="C557">
            <v>44665</v>
          </cell>
          <cell r="L557">
            <v>157</v>
          </cell>
        </row>
        <row r="558">
          <cell r="C558">
            <v>44666</v>
          </cell>
          <cell r="L558">
            <v>189</v>
          </cell>
        </row>
        <row r="559">
          <cell r="C559">
            <v>44667</v>
          </cell>
          <cell r="L559">
            <v>466</v>
          </cell>
        </row>
        <row r="560">
          <cell r="C560">
            <v>44668</v>
          </cell>
          <cell r="L560">
            <v>324</v>
          </cell>
        </row>
        <row r="561">
          <cell r="C561">
            <v>44669</v>
          </cell>
        </row>
        <row r="562">
          <cell r="C562">
            <v>44670</v>
          </cell>
          <cell r="L562">
            <v>112</v>
          </cell>
        </row>
        <row r="563">
          <cell r="C563">
            <v>44671</v>
          </cell>
          <cell r="L563">
            <v>126</v>
          </cell>
        </row>
        <row r="564">
          <cell r="C564">
            <v>44672</v>
          </cell>
          <cell r="L564">
            <v>115</v>
          </cell>
        </row>
        <row r="565">
          <cell r="C565">
            <v>44673</v>
          </cell>
          <cell r="L565">
            <v>154</v>
          </cell>
        </row>
        <row r="566">
          <cell r="C566">
            <v>44674</v>
          </cell>
          <cell r="L566">
            <v>476</v>
          </cell>
        </row>
        <row r="567">
          <cell r="C567">
            <v>44675</v>
          </cell>
          <cell r="L567">
            <v>264</v>
          </cell>
        </row>
        <row r="568">
          <cell r="C568">
            <v>44676</v>
          </cell>
          <cell r="L568">
            <v>174</v>
          </cell>
        </row>
        <row r="569">
          <cell r="C569">
            <v>44677</v>
          </cell>
          <cell r="L569">
            <v>124</v>
          </cell>
        </row>
        <row r="570">
          <cell r="C570">
            <v>44678</v>
          </cell>
          <cell r="L570">
            <v>309</v>
          </cell>
        </row>
        <row r="571">
          <cell r="C571">
            <v>44679</v>
          </cell>
          <cell r="L571">
            <v>228</v>
          </cell>
        </row>
        <row r="572">
          <cell r="C572">
            <v>44680</v>
          </cell>
          <cell r="L572">
            <v>289</v>
          </cell>
        </row>
        <row r="573">
          <cell r="C573">
            <v>44681</v>
          </cell>
          <cell r="L573">
            <v>564</v>
          </cell>
        </row>
        <row r="574">
          <cell r="C574">
            <v>44682</v>
          </cell>
          <cell r="L574">
            <v>327</v>
          </cell>
        </row>
        <row r="575">
          <cell r="C575">
            <v>44683</v>
          </cell>
          <cell r="L575">
            <v>131</v>
          </cell>
        </row>
        <row r="576">
          <cell r="C576">
            <v>44684</v>
          </cell>
          <cell r="L576">
            <v>149</v>
          </cell>
        </row>
        <row r="577">
          <cell r="C577">
            <v>44685</v>
          </cell>
          <cell r="L577">
            <v>80</v>
          </cell>
        </row>
        <row r="578">
          <cell r="C578">
            <v>44686</v>
          </cell>
          <cell r="L578">
            <v>317</v>
          </cell>
        </row>
        <row r="579">
          <cell r="C579">
            <v>44687</v>
          </cell>
          <cell r="L579">
            <v>258</v>
          </cell>
        </row>
        <row r="580">
          <cell r="C580">
            <v>44688</v>
          </cell>
          <cell r="L580">
            <v>455</v>
          </cell>
        </row>
        <row r="581">
          <cell r="C581">
            <v>44689</v>
          </cell>
          <cell r="L581">
            <v>300</v>
          </cell>
        </row>
        <row r="582">
          <cell r="C582">
            <v>44690</v>
          </cell>
          <cell r="L582">
            <v>114</v>
          </cell>
        </row>
        <row r="583">
          <cell r="C583">
            <v>44691</v>
          </cell>
          <cell r="L583">
            <v>106</v>
          </cell>
        </row>
        <row r="584">
          <cell r="C584">
            <v>44692</v>
          </cell>
          <cell r="L584">
            <v>94</v>
          </cell>
        </row>
        <row r="585">
          <cell r="C585">
            <v>44693</v>
          </cell>
          <cell r="L585">
            <v>111</v>
          </cell>
        </row>
        <row r="586">
          <cell r="C586">
            <v>44694</v>
          </cell>
          <cell r="L586">
            <v>108</v>
          </cell>
        </row>
        <row r="587">
          <cell r="C587">
            <v>44695</v>
          </cell>
          <cell r="L587">
            <v>604</v>
          </cell>
        </row>
        <row r="588">
          <cell r="C588">
            <v>44696</v>
          </cell>
          <cell r="L588">
            <v>456</v>
          </cell>
        </row>
        <row r="589">
          <cell r="C589">
            <v>44697</v>
          </cell>
          <cell r="L589">
            <v>127</v>
          </cell>
        </row>
        <row r="590">
          <cell r="C590">
            <v>44698</v>
          </cell>
          <cell r="L590">
            <v>130</v>
          </cell>
        </row>
        <row r="591">
          <cell r="C591">
            <v>44699</v>
          </cell>
          <cell r="L591">
            <v>123</v>
          </cell>
        </row>
        <row r="592">
          <cell r="C592">
            <v>44700</v>
          </cell>
          <cell r="L592">
            <v>128</v>
          </cell>
        </row>
        <row r="593">
          <cell r="C593">
            <v>44701</v>
          </cell>
          <cell r="L593">
            <v>219</v>
          </cell>
        </row>
        <row r="594">
          <cell r="C594">
            <v>44702</v>
          </cell>
          <cell r="L594">
            <v>665</v>
          </cell>
        </row>
        <row r="595">
          <cell r="C595">
            <v>44703</v>
          </cell>
          <cell r="L595">
            <v>528</v>
          </cell>
        </row>
        <row r="596">
          <cell r="C596">
            <v>44704</v>
          </cell>
        </row>
        <row r="597">
          <cell r="C597">
            <v>44705</v>
          </cell>
          <cell r="L597">
            <v>114</v>
          </cell>
        </row>
        <row r="598">
          <cell r="C598">
            <v>44706</v>
          </cell>
          <cell r="L598">
            <v>275</v>
          </cell>
        </row>
        <row r="599">
          <cell r="C599">
            <v>44707</v>
          </cell>
          <cell r="L599">
            <v>181</v>
          </cell>
        </row>
        <row r="600">
          <cell r="C600">
            <v>44708</v>
          </cell>
          <cell r="L600">
            <v>298</v>
          </cell>
        </row>
        <row r="601">
          <cell r="C601">
            <v>44709</v>
          </cell>
          <cell r="L601">
            <v>690</v>
          </cell>
        </row>
        <row r="602">
          <cell r="C602">
            <v>44710</v>
          </cell>
          <cell r="L602">
            <v>660</v>
          </cell>
        </row>
        <row r="603">
          <cell r="C603">
            <v>44711</v>
          </cell>
          <cell r="L603">
            <v>242</v>
          </cell>
        </row>
        <row r="604">
          <cell r="C604">
            <v>44712</v>
          </cell>
          <cell r="L604">
            <v>285</v>
          </cell>
        </row>
        <row r="605">
          <cell r="C605">
            <v>44713</v>
          </cell>
          <cell r="L605">
            <v>718</v>
          </cell>
        </row>
        <row r="606">
          <cell r="C606">
            <v>44714</v>
          </cell>
          <cell r="L606">
            <v>240</v>
          </cell>
        </row>
        <row r="607">
          <cell r="C607">
            <v>44715</v>
          </cell>
          <cell r="L607">
            <v>403</v>
          </cell>
        </row>
        <row r="608">
          <cell r="C608">
            <v>44716</v>
          </cell>
          <cell r="L608">
            <v>858</v>
          </cell>
        </row>
        <row r="609">
          <cell r="C609">
            <v>44717</v>
          </cell>
          <cell r="L609">
            <v>784</v>
          </cell>
        </row>
        <row r="610">
          <cell r="C610">
            <v>44718</v>
          </cell>
          <cell r="L610">
            <v>1132</v>
          </cell>
        </row>
        <row r="611">
          <cell r="C611">
            <v>44719</v>
          </cell>
        </row>
        <row r="612">
          <cell r="C612">
            <v>44720</v>
          </cell>
        </row>
        <row r="613">
          <cell r="C613">
            <v>44721</v>
          </cell>
        </row>
        <row r="614">
          <cell r="C614">
            <v>44722</v>
          </cell>
        </row>
        <row r="615">
          <cell r="C615">
            <v>44723</v>
          </cell>
        </row>
        <row r="616">
          <cell r="C616">
            <v>44724</v>
          </cell>
        </row>
        <row r="617">
          <cell r="C617">
            <v>44725</v>
          </cell>
        </row>
        <row r="618">
          <cell r="C618">
            <v>44726</v>
          </cell>
        </row>
        <row r="619">
          <cell r="C619">
            <v>44727</v>
          </cell>
        </row>
        <row r="620">
          <cell r="C620">
            <v>44728</v>
          </cell>
        </row>
        <row r="621">
          <cell r="C621">
            <v>44729</v>
          </cell>
        </row>
        <row r="622">
          <cell r="C622">
            <v>44730</v>
          </cell>
        </row>
        <row r="623">
          <cell r="C623">
            <v>44731</v>
          </cell>
        </row>
        <row r="624">
          <cell r="C624">
            <v>44732</v>
          </cell>
        </row>
        <row r="625">
          <cell r="C625">
            <v>44733</v>
          </cell>
        </row>
        <row r="626">
          <cell r="C626">
            <v>44734</v>
          </cell>
        </row>
        <row r="627">
          <cell r="C627">
            <v>44735</v>
          </cell>
        </row>
        <row r="628">
          <cell r="C628">
            <v>44736</v>
          </cell>
        </row>
        <row r="629">
          <cell r="C629">
            <v>44737</v>
          </cell>
        </row>
        <row r="630">
          <cell r="C630">
            <v>44738</v>
          </cell>
        </row>
        <row r="631">
          <cell r="C631">
            <v>44739</v>
          </cell>
        </row>
        <row r="632">
          <cell r="C632">
            <v>44740</v>
          </cell>
        </row>
        <row r="633">
          <cell r="C633">
            <v>44741</v>
          </cell>
        </row>
        <row r="634">
          <cell r="C634">
            <v>44742</v>
          </cell>
        </row>
        <row r="635">
          <cell r="C635">
            <v>44743</v>
          </cell>
        </row>
        <row r="636">
          <cell r="C636">
            <v>44744</v>
          </cell>
        </row>
        <row r="637">
          <cell r="C637">
            <v>44745</v>
          </cell>
        </row>
        <row r="638">
          <cell r="C638">
            <v>44746</v>
          </cell>
        </row>
        <row r="639">
          <cell r="C639">
            <v>44747</v>
          </cell>
        </row>
        <row r="640">
          <cell r="C640">
            <v>44748</v>
          </cell>
        </row>
        <row r="641">
          <cell r="C641">
            <v>44749</v>
          </cell>
        </row>
        <row r="642">
          <cell r="C642">
            <v>44750</v>
          </cell>
        </row>
        <row r="643">
          <cell r="C643">
            <v>44751</v>
          </cell>
        </row>
        <row r="644">
          <cell r="C644">
            <v>44752</v>
          </cell>
        </row>
        <row r="645">
          <cell r="C645">
            <v>44753</v>
          </cell>
        </row>
        <row r="646">
          <cell r="C646">
            <v>44754</v>
          </cell>
        </row>
        <row r="647">
          <cell r="C647">
            <v>44755</v>
          </cell>
        </row>
        <row r="648">
          <cell r="C648">
            <v>44756</v>
          </cell>
        </row>
        <row r="649">
          <cell r="C649">
            <v>44757</v>
          </cell>
        </row>
        <row r="650">
          <cell r="C650">
            <v>44758</v>
          </cell>
        </row>
        <row r="651">
          <cell r="C651">
            <v>44759</v>
          </cell>
        </row>
        <row r="652">
          <cell r="C652">
            <v>44760</v>
          </cell>
        </row>
        <row r="653">
          <cell r="C653">
            <v>44761</v>
          </cell>
        </row>
        <row r="654">
          <cell r="C654">
            <v>44762</v>
          </cell>
        </row>
        <row r="655">
          <cell r="C655">
            <v>44763</v>
          </cell>
        </row>
        <row r="656">
          <cell r="C656">
            <v>44764</v>
          </cell>
        </row>
        <row r="657">
          <cell r="C657">
            <v>44765</v>
          </cell>
        </row>
        <row r="658">
          <cell r="C658">
            <v>44766</v>
          </cell>
        </row>
        <row r="659">
          <cell r="C659">
            <v>44767</v>
          </cell>
        </row>
        <row r="660">
          <cell r="C660">
            <v>44768</v>
          </cell>
        </row>
        <row r="661">
          <cell r="C661">
            <v>44769</v>
          </cell>
        </row>
        <row r="662">
          <cell r="C662">
            <v>44770</v>
          </cell>
        </row>
        <row r="663">
          <cell r="C663">
            <v>44771</v>
          </cell>
          <cell r="L663">
            <v>342</v>
          </cell>
        </row>
        <row r="664">
          <cell r="C664">
            <v>44772</v>
          </cell>
          <cell r="L664">
            <v>453</v>
          </cell>
        </row>
        <row r="665">
          <cell r="C665">
            <v>44773</v>
          </cell>
          <cell r="L665">
            <v>338</v>
          </cell>
        </row>
        <row r="666">
          <cell r="C666">
            <v>44774</v>
          </cell>
          <cell r="L666">
            <v>212</v>
          </cell>
        </row>
        <row r="667">
          <cell r="C667">
            <v>44775</v>
          </cell>
          <cell r="L667">
            <v>211</v>
          </cell>
        </row>
        <row r="668">
          <cell r="C668">
            <v>44776</v>
          </cell>
          <cell r="L668">
            <v>302</v>
          </cell>
        </row>
        <row r="669">
          <cell r="C669">
            <v>44777</v>
          </cell>
          <cell r="L669">
            <v>232</v>
          </cell>
        </row>
        <row r="670">
          <cell r="C670">
            <v>44778</v>
          </cell>
          <cell r="L670">
            <v>240</v>
          </cell>
        </row>
        <row r="671">
          <cell r="C671">
            <v>44779</v>
          </cell>
          <cell r="L671">
            <v>489</v>
          </cell>
        </row>
        <row r="672">
          <cell r="C672">
            <v>44780</v>
          </cell>
          <cell r="L672">
            <v>417</v>
          </cell>
        </row>
        <row r="673">
          <cell r="C673">
            <v>44781</v>
          </cell>
          <cell r="L673">
            <v>230</v>
          </cell>
        </row>
        <row r="674">
          <cell r="C674">
            <v>44782</v>
          </cell>
          <cell r="L674">
            <v>146</v>
          </cell>
        </row>
        <row r="675">
          <cell r="C675">
            <v>44783</v>
          </cell>
          <cell r="L675">
            <v>226</v>
          </cell>
        </row>
        <row r="676">
          <cell r="C676">
            <v>44784</v>
          </cell>
          <cell r="L676">
            <v>181</v>
          </cell>
        </row>
        <row r="677">
          <cell r="C677">
            <v>44785</v>
          </cell>
          <cell r="L677">
            <v>221</v>
          </cell>
        </row>
        <row r="678">
          <cell r="C678">
            <v>44786</v>
          </cell>
          <cell r="L678">
            <v>453</v>
          </cell>
        </row>
        <row r="679">
          <cell r="C679">
            <v>44787</v>
          </cell>
          <cell r="L679">
            <v>438</v>
          </cell>
        </row>
        <row r="680">
          <cell r="C680">
            <v>44788</v>
          </cell>
          <cell r="L680">
            <v>474</v>
          </cell>
        </row>
        <row r="681">
          <cell r="C681">
            <v>44789</v>
          </cell>
          <cell r="L681">
            <v>215</v>
          </cell>
        </row>
        <row r="682">
          <cell r="C682">
            <v>44790</v>
          </cell>
          <cell r="L682">
            <v>155</v>
          </cell>
        </row>
        <row r="683">
          <cell r="C683">
            <v>44791</v>
          </cell>
          <cell r="L683">
            <v>183</v>
          </cell>
        </row>
        <row r="684">
          <cell r="C684">
            <v>44792</v>
          </cell>
          <cell r="L684">
            <v>226</v>
          </cell>
        </row>
        <row r="685">
          <cell r="C685">
            <v>44793</v>
          </cell>
          <cell r="L685">
            <v>507</v>
          </cell>
        </row>
        <row r="686">
          <cell r="C686">
            <v>44794</v>
          </cell>
          <cell r="L686">
            <v>395</v>
          </cell>
        </row>
        <row r="687">
          <cell r="C687">
            <v>44795</v>
          </cell>
          <cell r="L687">
            <v>30</v>
          </cell>
        </row>
        <row r="688">
          <cell r="C688">
            <v>44796</v>
          </cell>
          <cell r="L688">
            <v>210</v>
          </cell>
        </row>
        <row r="689">
          <cell r="C689">
            <v>44797</v>
          </cell>
          <cell r="L689">
            <v>194</v>
          </cell>
        </row>
        <row r="690">
          <cell r="C690">
            <v>44798</v>
          </cell>
          <cell r="L690">
            <v>212</v>
          </cell>
        </row>
        <row r="691">
          <cell r="C691">
            <v>44799</v>
          </cell>
          <cell r="L691">
            <v>296</v>
          </cell>
        </row>
        <row r="692">
          <cell r="C692">
            <v>44800</v>
          </cell>
          <cell r="L692">
            <v>602</v>
          </cell>
        </row>
        <row r="693">
          <cell r="C693">
            <v>44801</v>
          </cell>
          <cell r="L693">
            <v>577</v>
          </cell>
        </row>
        <row r="694">
          <cell r="C694">
            <v>44802</v>
          </cell>
          <cell r="L694">
            <v>254</v>
          </cell>
        </row>
        <row r="695">
          <cell r="C695">
            <v>44803</v>
          </cell>
          <cell r="L695">
            <v>212</v>
          </cell>
        </row>
        <row r="696">
          <cell r="C696">
            <v>44804</v>
          </cell>
          <cell r="L696">
            <v>349</v>
          </cell>
        </row>
        <row r="697">
          <cell r="C697">
            <v>44805</v>
          </cell>
          <cell r="L697">
            <v>87</v>
          </cell>
        </row>
        <row r="698">
          <cell r="C698">
            <v>44806</v>
          </cell>
          <cell r="L698">
            <v>163</v>
          </cell>
        </row>
        <row r="699">
          <cell r="C699">
            <v>44807</v>
          </cell>
          <cell r="L699">
            <v>373</v>
          </cell>
        </row>
        <row r="700">
          <cell r="C700">
            <v>44808</v>
          </cell>
          <cell r="L700">
            <v>275</v>
          </cell>
        </row>
        <row r="701">
          <cell r="C701">
            <v>44809</v>
          </cell>
          <cell r="L701">
            <v>96</v>
          </cell>
        </row>
        <row r="702">
          <cell r="C702">
            <v>44810</v>
          </cell>
          <cell r="L702">
            <v>76</v>
          </cell>
        </row>
        <row r="703">
          <cell r="C703">
            <v>44811</v>
          </cell>
          <cell r="L703">
            <v>138</v>
          </cell>
        </row>
        <row r="704">
          <cell r="C704">
            <v>44812</v>
          </cell>
          <cell r="L704">
            <v>127</v>
          </cell>
        </row>
        <row r="705">
          <cell r="C705">
            <v>44813</v>
          </cell>
        </row>
        <row r="706">
          <cell r="C706">
            <v>44814</v>
          </cell>
        </row>
        <row r="707">
          <cell r="C707">
            <v>44815</v>
          </cell>
          <cell r="L707">
            <v>295</v>
          </cell>
        </row>
        <row r="708">
          <cell r="C708">
            <v>44816</v>
          </cell>
          <cell r="L708">
            <v>327</v>
          </cell>
        </row>
        <row r="709">
          <cell r="C709">
            <v>44817</v>
          </cell>
          <cell r="L709">
            <v>77</v>
          </cell>
        </row>
        <row r="710">
          <cell r="C710">
            <v>44818</v>
          </cell>
          <cell r="L710">
            <v>79</v>
          </cell>
        </row>
        <row r="711">
          <cell r="C711">
            <v>44819</v>
          </cell>
          <cell r="L711">
            <v>198</v>
          </cell>
        </row>
        <row r="712">
          <cell r="C712">
            <v>44820</v>
          </cell>
          <cell r="L712">
            <v>234</v>
          </cell>
        </row>
        <row r="713">
          <cell r="C713">
            <v>44821</v>
          </cell>
          <cell r="L713">
            <v>317</v>
          </cell>
        </row>
        <row r="714">
          <cell r="C714">
            <v>44822</v>
          </cell>
          <cell r="L714">
            <v>280</v>
          </cell>
        </row>
        <row r="715">
          <cell r="C715">
            <v>44823</v>
          </cell>
          <cell r="L715">
            <v>125</v>
          </cell>
        </row>
        <row r="716">
          <cell r="C716">
            <v>44824</v>
          </cell>
          <cell r="L716">
            <v>104</v>
          </cell>
        </row>
        <row r="717">
          <cell r="C717">
            <v>44825</v>
          </cell>
          <cell r="L717">
            <v>120</v>
          </cell>
        </row>
        <row r="718">
          <cell r="C718">
            <v>44826</v>
          </cell>
          <cell r="L718">
            <v>86</v>
          </cell>
        </row>
        <row r="719">
          <cell r="C719">
            <v>44827</v>
          </cell>
          <cell r="L719">
            <v>147</v>
          </cell>
        </row>
        <row r="720">
          <cell r="C720">
            <v>44828</v>
          </cell>
          <cell r="L720">
            <v>348</v>
          </cell>
        </row>
        <row r="721">
          <cell r="C721">
            <v>44829</v>
          </cell>
          <cell r="L721">
            <v>262</v>
          </cell>
        </row>
        <row r="722">
          <cell r="C722">
            <v>44830</v>
          </cell>
          <cell r="L722">
            <v>99</v>
          </cell>
        </row>
        <row r="723">
          <cell r="C723">
            <v>44831</v>
          </cell>
          <cell r="L723">
            <v>87</v>
          </cell>
        </row>
        <row r="724">
          <cell r="C724">
            <v>44832</v>
          </cell>
          <cell r="L724">
            <v>169</v>
          </cell>
        </row>
        <row r="725">
          <cell r="C725">
            <v>44833</v>
          </cell>
          <cell r="L725">
            <v>73</v>
          </cell>
        </row>
        <row r="726">
          <cell r="C726">
            <v>44834</v>
          </cell>
          <cell r="L726">
            <v>136</v>
          </cell>
        </row>
        <row r="727">
          <cell r="C727">
            <v>44835</v>
          </cell>
          <cell r="L727">
            <v>400</v>
          </cell>
        </row>
        <row r="728">
          <cell r="C728">
            <v>44836</v>
          </cell>
          <cell r="L728">
            <v>439</v>
          </cell>
        </row>
        <row r="729">
          <cell r="C729">
            <v>44837</v>
          </cell>
          <cell r="L729">
            <v>355</v>
          </cell>
        </row>
        <row r="730">
          <cell r="C730">
            <v>44838</v>
          </cell>
          <cell r="L730">
            <v>61</v>
          </cell>
        </row>
        <row r="731">
          <cell r="C731">
            <v>44839</v>
          </cell>
          <cell r="L731">
            <v>78</v>
          </cell>
        </row>
        <row r="732">
          <cell r="C732">
            <v>44840</v>
          </cell>
          <cell r="L732">
            <v>92</v>
          </cell>
        </row>
        <row r="733">
          <cell r="C733">
            <v>44841</v>
          </cell>
          <cell r="L733">
            <v>134</v>
          </cell>
        </row>
        <row r="734">
          <cell r="C734">
            <v>44842</v>
          </cell>
          <cell r="L734">
            <v>450</v>
          </cell>
        </row>
        <row r="735">
          <cell r="C735">
            <v>44843</v>
          </cell>
          <cell r="L735">
            <v>510</v>
          </cell>
        </row>
        <row r="736">
          <cell r="C736">
            <v>44844</v>
          </cell>
          <cell r="L736">
            <v>372</v>
          </cell>
        </row>
        <row r="737">
          <cell r="C737">
            <v>44845</v>
          </cell>
          <cell r="L737">
            <v>82</v>
          </cell>
        </row>
        <row r="738">
          <cell r="C738">
            <v>44846</v>
          </cell>
          <cell r="L738">
            <v>124</v>
          </cell>
        </row>
        <row r="739">
          <cell r="C739">
            <v>44847</v>
          </cell>
          <cell r="L739">
            <v>70</v>
          </cell>
        </row>
        <row r="740">
          <cell r="C740">
            <v>44848</v>
          </cell>
          <cell r="L740">
            <v>192</v>
          </cell>
        </row>
        <row r="741">
          <cell r="C741">
            <v>44849</v>
          </cell>
          <cell r="L741">
            <v>524</v>
          </cell>
        </row>
        <row r="742">
          <cell r="C742">
            <v>44850</v>
          </cell>
          <cell r="L742">
            <v>445</v>
          </cell>
        </row>
        <row r="743">
          <cell r="C743">
            <v>44851</v>
          </cell>
        </row>
        <row r="744">
          <cell r="C744">
            <v>44852</v>
          </cell>
          <cell r="L744">
            <v>194</v>
          </cell>
        </row>
        <row r="745">
          <cell r="C745">
            <v>44853</v>
          </cell>
          <cell r="L745">
            <v>91</v>
          </cell>
        </row>
        <row r="746">
          <cell r="C746">
            <v>44854</v>
          </cell>
          <cell r="L746">
            <v>110</v>
          </cell>
        </row>
        <row r="747">
          <cell r="C747">
            <v>44855</v>
          </cell>
          <cell r="L747">
            <v>124</v>
          </cell>
        </row>
        <row r="748">
          <cell r="C748">
            <v>44856</v>
          </cell>
          <cell r="L748">
            <v>394</v>
          </cell>
        </row>
        <row r="749">
          <cell r="C749">
            <v>44857</v>
          </cell>
          <cell r="L749">
            <v>469</v>
          </cell>
        </row>
        <row r="750">
          <cell r="C750">
            <v>44858</v>
          </cell>
          <cell r="L750">
            <v>110</v>
          </cell>
        </row>
        <row r="751">
          <cell r="C751">
            <v>44859</v>
          </cell>
          <cell r="L751">
            <v>112</v>
          </cell>
        </row>
        <row r="752">
          <cell r="C752">
            <v>44860</v>
          </cell>
          <cell r="L752">
            <v>192</v>
          </cell>
        </row>
        <row r="753">
          <cell r="C753">
            <v>44861</v>
          </cell>
          <cell r="L753">
            <v>134</v>
          </cell>
        </row>
        <row r="754">
          <cell r="C754">
            <v>44862</v>
          </cell>
          <cell r="L754">
            <v>277</v>
          </cell>
        </row>
        <row r="755">
          <cell r="C755">
            <v>44863</v>
          </cell>
          <cell r="L755">
            <v>457</v>
          </cell>
        </row>
        <row r="756">
          <cell r="C756">
            <v>44864</v>
          </cell>
          <cell r="L756">
            <v>402</v>
          </cell>
        </row>
        <row r="757">
          <cell r="C757">
            <v>44865</v>
          </cell>
          <cell r="L757">
            <v>168</v>
          </cell>
        </row>
        <row r="758">
          <cell r="C758">
            <v>44866</v>
          </cell>
          <cell r="L758">
            <v>164</v>
          </cell>
        </row>
        <row r="759">
          <cell r="C759">
            <v>44867</v>
          </cell>
          <cell r="L759">
            <v>241</v>
          </cell>
        </row>
        <row r="760">
          <cell r="C760">
            <v>44868</v>
          </cell>
          <cell r="L760">
            <v>212</v>
          </cell>
        </row>
        <row r="761">
          <cell r="C761">
            <v>44869</v>
          </cell>
          <cell r="L761">
            <v>278</v>
          </cell>
        </row>
        <row r="762">
          <cell r="C762">
            <v>44870</v>
          </cell>
          <cell r="L762">
            <v>799</v>
          </cell>
        </row>
        <row r="763">
          <cell r="C763">
            <v>44871</v>
          </cell>
          <cell r="L763">
            <v>816</v>
          </cell>
        </row>
        <row r="764">
          <cell r="C764">
            <v>44872</v>
          </cell>
        </row>
        <row r="765">
          <cell r="C765">
            <v>44873</v>
          </cell>
        </row>
        <row r="766">
          <cell r="C766">
            <v>44874</v>
          </cell>
        </row>
        <row r="767">
          <cell r="C767">
            <v>44875</v>
          </cell>
        </row>
        <row r="768">
          <cell r="C768">
            <v>44876</v>
          </cell>
        </row>
        <row r="769">
          <cell r="C769">
            <v>44877</v>
          </cell>
        </row>
        <row r="770">
          <cell r="C770">
            <v>44878</v>
          </cell>
        </row>
        <row r="771">
          <cell r="C771">
            <v>44879</v>
          </cell>
        </row>
        <row r="772">
          <cell r="C772">
            <v>44880</v>
          </cell>
        </row>
        <row r="773">
          <cell r="C773">
            <v>44881</v>
          </cell>
        </row>
        <row r="774">
          <cell r="C774">
            <v>44882</v>
          </cell>
        </row>
        <row r="775">
          <cell r="C775">
            <v>44883</v>
          </cell>
        </row>
        <row r="776">
          <cell r="C776">
            <v>44884</v>
          </cell>
        </row>
        <row r="777">
          <cell r="C777">
            <v>44885</v>
          </cell>
        </row>
        <row r="778">
          <cell r="C778">
            <v>44886</v>
          </cell>
        </row>
        <row r="779">
          <cell r="C779">
            <v>44887</v>
          </cell>
        </row>
        <row r="780">
          <cell r="C780">
            <v>44888</v>
          </cell>
        </row>
        <row r="781">
          <cell r="C781">
            <v>44889</v>
          </cell>
        </row>
        <row r="782">
          <cell r="C782">
            <v>44890</v>
          </cell>
        </row>
        <row r="783">
          <cell r="C783">
            <v>44891</v>
          </cell>
        </row>
        <row r="784">
          <cell r="C784">
            <v>44892</v>
          </cell>
        </row>
        <row r="785">
          <cell r="C785">
            <v>44893</v>
          </cell>
        </row>
        <row r="786">
          <cell r="C786">
            <v>44894</v>
          </cell>
        </row>
        <row r="787">
          <cell r="C787">
            <v>44895</v>
          </cell>
        </row>
        <row r="788">
          <cell r="C788">
            <v>44896</v>
          </cell>
        </row>
        <row r="789">
          <cell r="C789">
            <v>44897</v>
          </cell>
        </row>
        <row r="790">
          <cell r="C790">
            <v>44898</v>
          </cell>
        </row>
        <row r="791">
          <cell r="C791">
            <v>44899</v>
          </cell>
        </row>
        <row r="792">
          <cell r="C792">
            <v>44900</v>
          </cell>
        </row>
        <row r="793">
          <cell r="C793">
            <v>44901</v>
          </cell>
        </row>
        <row r="794">
          <cell r="C794">
            <v>44902</v>
          </cell>
        </row>
        <row r="795">
          <cell r="C795">
            <v>44903</v>
          </cell>
        </row>
        <row r="796">
          <cell r="C796">
            <v>44904</v>
          </cell>
        </row>
        <row r="797">
          <cell r="C797">
            <v>44905</v>
          </cell>
        </row>
        <row r="798">
          <cell r="C798">
            <v>44906</v>
          </cell>
        </row>
        <row r="799">
          <cell r="C799">
            <v>44907</v>
          </cell>
        </row>
        <row r="800">
          <cell r="C800">
            <v>44908</v>
          </cell>
        </row>
        <row r="801">
          <cell r="C801">
            <v>44909</v>
          </cell>
        </row>
        <row r="802">
          <cell r="C802">
            <v>44910</v>
          </cell>
        </row>
        <row r="803">
          <cell r="C803">
            <v>44911</v>
          </cell>
        </row>
        <row r="804">
          <cell r="C804">
            <v>44912</v>
          </cell>
        </row>
        <row r="805">
          <cell r="C805">
            <v>44913</v>
          </cell>
        </row>
        <row r="806">
          <cell r="C806">
            <v>44914</v>
          </cell>
        </row>
        <row r="807">
          <cell r="C807">
            <v>44915</v>
          </cell>
        </row>
        <row r="808">
          <cell r="C808">
            <v>44916</v>
          </cell>
        </row>
        <row r="809">
          <cell r="C809">
            <v>44917</v>
          </cell>
        </row>
        <row r="810">
          <cell r="C810">
            <v>44918</v>
          </cell>
        </row>
        <row r="811">
          <cell r="C811">
            <v>44919</v>
          </cell>
          <cell r="L811">
            <v>1532</v>
          </cell>
        </row>
        <row r="812">
          <cell r="C812">
            <v>44920</v>
          </cell>
          <cell r="L812">
            <v>1116</v>
          </cell>
        </row>
        <row r="813">
          <cell r="C813">
            <v>44921</v>
          </cell>
          <cell r="L813">
            <v>632</v>
          </cell>
        </row>
        <row r="814">
          <cell r="C814">
            <v>44922</v>
          </cell>
          <cell r="L814">
            <v>575</v>
          </cell>
        </row>
        <row r="815">
          <cell r="C815">
            <v>44923</v>
          </cell>
          <cell r="L815">
            <v>573</v>
          </cell>
        </row>
        <row r="816">
          <cell r="C816">
            <v>44924</v>
          </cell>
          <cell r="L816">
            <v>610</v>
          </cell>
        </row>
        <row r="817">
          <cell r="C817">
            <v>44925</v>
          </cell>
          <cell r="L817">
            <v>747</v>
          </cell>
        </row>
        <row r="818">
          <cell r="C818">
            <v>44926</v>
          </cell>
          <cell r="L818">
            <v>787</v>
          </cell>
        </row>
        <row r="819">
          <cell r="C819">
            <v>44927</v>
          </cell>
        </row>
        <row r="820">
          <cell r="C820">
            <v>44928</v>
          </cell>
          <cell r="L820">
            <v>349</v>
          </cell>
        </row>
        <row r="821">
          <cell r="C821">
            <v>44929</v>
          </cell>
          <cell r="L821">
            <v>367</v>
          </cell>
        </row>
        <row r="822">
          <cell r="C822">
            <v>44930</v>
          </cell>
          <cell r="L822">
            <v>302</v>
          </cell>
        </row>
        <row r="823">
          <cell r="C823">
            <v>44931</v>
          </cell>
          <cell r="L823">
            <v>339</v>
          </cell>
        </row>
        <row r="824">
          <cell r="C824">
            <v>44932</v>
          </cell>
          <cell r="L824">
            <v>415</v>
          </cell>
        </row>
        <row r="825">
          <cell r="C825">
            <v>44933</v>
          </cell>
          <cell r="L825">
            <v>1098</v>
          </cell>
        </row>
        <row r="826">
          <cell r="C826">
            <v>44934</v>
          </cell>
          <cell r="L826">
            <v>959</v>
          </cell>
        </row>
        <row r="827">
          <cell r="C827">
            <v>44935</v>
          </cell>
          <cell r="L827">
            <v>395</v>
          </cell>
        </row>
        <row r="828">
          <cell r="C828">
            <v>44936</v>
          </cell>
          <cell r="L828">
            <v>350</v>
          </cell>
        </row>
        <row r="829">
          <cell r="C829">
            <v>44937</v>
          </cell>
          <cell r="L829">
            <v>424</v>
          </cell>
        </row>
        <row r="830">
          <cell r="C830">
            <v>44938</v>
          </cell>
          <cell r="L830">
            <v>407</v>
          </cell>
        </row>
        <row r="831">
          <cell r="C831">
            <v>44939</v>
          </cell>
          <cell r="L831">
            <v>462</v>
          </cell>
        </row>
        <row r="832">
          <cell r="C832">
            <v>44940</v>
          </cell>
          <cell r="L832">
            <v>1337</v>
          </cell>
        </row>
        <row r="833">
          <cell r="C833">
            <v>44941</v>
          </cell>
          <cell r="L833">
            <v>928</v>
          </cell>
        </row>
        <row r="834">
          <cell r="C834">
            <v>44942</v>
          </cell>
          <cell r="L834">
            <v>420</v>
          </cell>
        </row>
        <row r="835">
          <cell r="C835">
            <v>44943</v>
          </cell>
          <cell r="L835">
            <v>382</v>
          </cell>
        </row>
        <row r="836">
          <cell r="C836">
            <v>44944</v>
          </cell>
          <cell r="L836">
            <v>365</v>
          </cell>
        </row>
        <row r="837">
          <cell r="C837">
            <v>44945</v>
          </cell>
          <cell r="L837">
            <v>319</v>
          </cell>
        </row>
        <row r="838">
          <cell r="C838">
            <v>44946</v>
          </cell>
          <cell r="L838">
            <v>510</v>
          </cell>
        </row>
        <row r="839">
          <cell r="C839">
            <v>44947</v>
          </cell>
        </row>
        <row r="840">
          <cell r="C840">
            <v>44948</v>
          </cell>
        </row>
        <row r="841">
          <cell r="C841">
            <v>44949</v>
          </cell>
          <cell r="L841">
            <v>809</v>
          </cell>
        </row>
        <row r="842">
          <cell r="C842">
            <v>44950</v>
          </cell>
          <cell r="L842">
            <v>694</v>
          </cell>
        </row>
        <row r="843">
          <cell r="C843">
            <v>44951</v>
          </cell>
          <cell r="L843">
            <v>424</v>
          </cell>
        </row>
        <row r="844">
          <cell r="C844">
            <v>44952</v>
          </cell>
          <cell r="L844">
            <v>406</v>
          </cell>
        </row>
        <row r="845">
          <cell r="C845">
            <v>44953</v>
          </cell>
          <cell r="L845">
            <v>592</v>
          </cell>
        </row>
        <row r="846">
          <cell r="C846">
            <v>44954</v>
          </cell>
          <cell r="L846">
            <v>1310</v>
          </cell>
        </row>
        <row r="847">
          <cell r="C847">
            <v>44955</v>
          </cell>
          <cell r="L847">
            <v>1277</v>
          </cell>
        </row>
        <row r="848">
          <cell r="C848">
            <v>44956</v>
          </cell>
          <cell r="L848">
            <v>695</v>
          </cell>
        </row>
        <row r="849">
          <cell r="C849">
            <v>44957</v>
          </cell>
          <cell r="L849">
            <v>677</v>
          </cell>
        </row>
        <row r="850">
          <cell r="C850">
            <v>44958</v>
          </cell>
          <cell r="L850">
            <v>198</v>
          </cell>
        </row>
        <row r="851">
          <cell r="C851">
            <v>44959</v>
          </cell>
          <cell r="L851">
            <v>186</v>
          </cell>
        </row>
        <row r="852">
          <cell r="C852">
            <v>44960</v>
          </cell>
          <cell r="L852">
            <v>256</v>
          </cell>
        </row>
        <row r="853">
          <cell r="C853">
            <v>44961</v>
          </cell>
          <cell r="L853">
            <v>638</v>
          </cell>
        </row>
        <row r="854">
          <cell r="C854">
            <v>44962</v>
          </cell>
          <cell r="L854">
            <v>507</v>
          </cell>
        </row>
        <row r="855">
          <cell r="C855">
            <v>44963</v>
          </cell>
          <cell r="L855">
            <v>258</v>
          </cell>
        </row>
        <row r="856">
          <cell r="C856">
            <v>44964</v>
          </cell>
          <cell r="L856">
            <v>245</v>
          </cell>
        </row>
        <row r="857">
          <cell r="C857">
            <v>44965</v>
          </cell>
          <cell r="L857">
            <v>195</v>
          </cell>
        </row>
        <row r="858">
          <cell r="C858">
            <v>44966</v>
          </cell>
          <cell r="L858">
            <v>190</v>
          </cell>
        </row>
        <row r="859">
          <cell r="C859">
            <v>44967</v>
          </cell>
          <cell r="L859">
            <v>294</v>
          </cell>
        </row>
        <row r="860">
          <cell r="C860">
            <v>44968</v>
          </cell>
          <cell r="L860">
            <v>638</v>
          </cell>
        </row>
        <row r="861">
          <cell r="C861">
            <v>44969</v>
          </cell>
          <cell r="L861">
            <v>529</v>
          </cell>
        </row>
        <row r="862">
          <cell r="C862">
            <v>44970</v>
          </cell>
          <cell r="L862">
            <v>280</v>
          </cell>
        </row>
        <row r="863">
          <cell r="C863">
            <v>44971</v>
          </cell>
          <cell r="L863">
            <v>348</v>
          </cell>
        </row>
        <row r="864">
          <cell r="C864">
            <v>44972</v>
          </cell>
          <cell r="L864">
            <v>241</v>
          </cell>
        </row>
        <row r="865">
          <cell r="C865">
            <v>44973</v>
          </cell>
          <cell r="L865">
            <v>239</v>
          </cell>
        </row>
        <row r="866">
          <cell r="C866">
            <v>44974</v>
          </cell>
          <cell r="L866">
            <v>273</v>
          </cell>
        </row>
        <row r="867">
          <cell r="C867">
            <v>44975</v>
          </cell>
          <cell r="L867">
            <v>573</v>
          </cell>
        </row>
        <row r="868">
          <cell r="C868">
            <v>44976</v>
          </cell>
          <cell r="L868">
            <v>504</v>
          </cell>
        </row>
        <row r="869">
          <cell r="C869">
            <v>44977</v>
          </cell>
          <cell r="L869">
            <v>224</v>
          </cell>
        </row>
        <row r="870">
          <cell r="C870">
            <v>44978</v>
          </cell>
          <cell r="L870">
            <v>196</v>
          </cell>
        </row>
        <row r="871">
          <cell r="C871">
            <v>44979</v>
          </cell>
          <cell r="L871">
            <v>471</v>
          </cell>
        </row>
        <row r="872">
          <cell r="C872">
            <v>44980</v>
          </cell>
          <cell r="L872">
            <v>228</v>
          </cell>
        </row>
        <row r="873">
          <cell r="C873">
            <v>44981</v>
          </cell>
          <cell r="L873">
            <v>234</v>
          </cell>
        </row>
        <row r="874">
          <cell r="C874">
            <v>44982</v>
          </cell>
          <cell r="L874">
            <v>554</v>
          </cell>
        </row>
        <row r="875">
          <cell r="C875">
            <v>44983</v>
          </cell>
          <cell r="L875">
            <v>465</v>
          </cell>
        </row>
        <row r="876">
          <cell r="C876">
            <v>44984</v>
          </cell>
          <cell r="L876">
            <v>259</v>
          </cell>
        </row>
        <row r="877">
          <cell r="C877">
            <v>44985</v>
          </cell>
          <cell r="L877">
            <v>246</v>
          </cell>
        </row>
        <row r="878">
          <cell r="C878">
            <v>44986</v>
          </cell>
          <cell r="L878">
            <v>526</v>
          </cell>
        </row>
        <row r="879">
          <cell r="C879">
            <v>44987</v>
          </cell>
          <cell r="L879">
            <v>137</v>
          </cell>
        </row>
        <row r="880">
          <cell r="C880">
            <v>44988</v>
          </cell>
          <cell r="L880">
            <v>192</v>
          </cell>
        </row>
        <row r="881">
          <cell r="C881">
            <v>44989</v>
          </cell>
          <cell r="L881">
            <v>460</v>
          </cell>
        </row>
        <row r="882">
          <cell r="C882">
            <v>44990</v>
          </cell>
          <cell r="L882">
            <v>447</v>
          </cell>
        </row>
        <row r="883">
          <cell r="C883">
            <v>44991</v>
          </cell>
          <cell r="L883">
            <v>44</v>
          </cell>
        </row>
        <row r="884">
          <cell r="C884">
            <v>44992</v>
          </cell>
          <cell r="L884">
            <v>130</v>
          </cell>
        </row>
        <row r="885">
          <cell r="C885">
            <v>44993</v>
          </cell>
          <cell r="L885">
            <v>179</v>
          </cell>
        </row>
        <row r="886">
          <cell r="C886">
            <v>44994</v>
          </cell>
          <cell r="L886">
            <v>152</v>
          </cell>
        </row>
        <row r="887">
          <cell r="C887">
            <v>44995</v>
          </cell>
          <cell r="L887">
            <v>213</v>
          </cell>
        </row>
        <row r="888">
          <cell r="C888">
            <v>44996</v>
          </cell>
          <cell r="L888">
            <v>575</v>
          </cell>
        </row>
        <row r="889">
          <cell r="C889">
            <v>44997</v>
          </cell>
          <cell r="L889">
            <v>417</v>
          </cell>
        </row>
        <row r="890">
          <cell r="C890">
            <v>44998</v>
          </cell>
          <cell r="L890">
            <v>164</v>
          </cell>
        </row>
        <row r="891">
          <cell r="C891">
            <v>44999</v>
          </cell>
          <cell r="L891">
            <v>197</v>
          </cell>
        </row>
        <row r="892">
          <cell r="C892">
            <v>45000</v>
          </cell>
          <cell r="L892">
            <v>168</v>
          </cell>
        </row>
        <row r="893">
          <cell r="C893">
            <v>45001</v>
          </cell>
          <cell r="L893">
            <v>185</v>
          </cell>
        </row>
        <row r="894">
          <cell r="C894">
            <v>45002</v>
          </cell>
          <cell r="L894">
            <v>232</v>
          </cell>
        </row>
        <row r="895">
          <cell r="C895">
            <v>45003</v>
          </cell>
          <cell r="L895">
            <v>739</v>
          </cell>
        </row>
        <row r="896">
          <cell r="C896">
            <v>45004</v>
          </cell>
          <cell r="L896">
            <v>587</v>
          </cell>
        </row>
        <row r="897">
          <cell r="C897">
            <v>45005</v>
          </cell>
          <cell r="L897">
            <v>293</v>
          </cell>
        </row>
        <row r="898">
          <cell r="C898">
            <v>45006</v>
          </cell>
          <cell r="L898">
            <v>271</v>
          </cell>
        </row>
        <row r="899">
          <cell r="C899">
            <v>45007</v>
          </cell>
          <cell r="L899">
            <v>280</v>
          </cell>
        </row>
        <row r="900">
          <cell r="C900">
            <v>45008</v>
          </cell>
          <cell r="L900">
            <v>382</v>
          </cell>
        </row>
        <row r="901">
          <cell r="C901">
            <v>45009</v>
          </cell>
          <cell r="L901">
            <v>586</v>
          </cell>
        </row>
        <row r="902">
          <cell r="C902">
            <v>45010</v>
          </cell>
          <cell r="L902">
            <v>1007</v>
          </cell>
        </row>
        <row r="903">
          <cell r="C903">
            <v>45011</v>
          </cell>
          <cell r="L903">
            <v>929</v>
          </cell>
        </row>
        <row r="904">
          <cell r="C904">
            <v>45012</v>
          </cell>
        </row>
        <row r="905">
          <cell r="C905">
            <v>45013</v>
          </cell>
        </row>
        <row r="906">
          <cell r="C906">
            <v>45014</v>
          </cell>
        </row>
        <row r="907">
          <cell r="C907">
            <v>45015</v>
          </cell>
        </row>
        <row r="908">
          <cell r="C908">
            <v>45016</v>
          </cell>
        </row>
        <row r="909">
          <cell r="C909">
            <v>45017</v>
          </cell>
        </row>
        <row r="910">
          <cell r="C910">
            <v>45018</v>
          </cell>
        </row>
        <row r="911">
          <cell r="C911">
            <v>45019</v>
          </cell>
        </row>
        <row r="912">
          <cell r="C912">
            <v>45020</v>
          </cell>
        </row>
        <row r="913">
          <cell r="C913">
            <v>45021</v>
          </cell>
        </row>
        <row r="914">
          <cell r="C914">
            <v>45022</v>
          </cell>
        </row>
        <row r="915">
          <cell r="C915">
            <v>45023</v>
          </cell>
        </row>
        <row r="916">
          <cell r="C916">
            <v>45024</v>
          </cell>
        </row>
        <row r="917">
          <cell r="C917">
            <v>45025</v>
          </cell>
        </row>
        <row r="918">
          <cell r="C918">
            <v>45026</v>
          </cell>
        </row>
        <row r="919">
          <cell r="C919">
            <v>45027</v>
          </cell>
        </row>
        <row r="920">
          <cell r="C920">
            <v>45028</v>
          </cell>
        </row>
        <row r="921">
          <cell r="C921">
            <v>45029</v>
          </cell>
        </row>
        <row r="922">
          <cell r="C922">
            <v>45030</v>
          </cell>
        </row>
        <row r="923">
          <cell r="C923">
            <v>45031</v>
          </cell>
        </row>
        <row r="924">
          <cell r="C924">
            <v>45032</v>
          </cell>
        </row>
        <row r="925">
          <cell r="C925">
            <v>45033</v>
          </cell>
        </row>
        <row r="926">
          <cell r="C926">
            <v>45034</v>
          </cell>
        </row>
        <row r="927">
          <cell r="C927">
            <v>45035</v>
          </cell>
        </row>
        <row r="928">
          <cell r="C928">
            <v>45036</v>
          </cell>
        </row>
        <row r="929">
          <cell r="C929">
            <v>45037</v>
          </cell>
        </row>
        <row r="930">
          <cell r="C930">
            <v>45038</v>
          </cell>
        </row>
        <row r="931">
          <cell r="C931">
            <v>45039</v>
          </cell>
        </row>
        <row r="932">
          <cell r="C932">
            <v>45040</v>
          </cell>
        </row>
        <row r="933">
          <cell r="C933">
            <v>45041</v>
          </cell>
        </row>
        <row r="934">
          <cell r="C934">
            <v>45042</v>
          </cell>
        </row>
        <row r="935">
          <cell r="C935">
            <v>45043</v>
          </cell>
        </row>
        <row r="936">
          <cell r="C936">
            <v>45044</v>
          </cell>
        </row>
        <row r="937">
          <cell r="C937">
            <v>45045</v>
          </cell>
        </row>
        <row r="938">
          <cell r="C938">
            <v>45046</v>
          </cell>
        </row>
        <row r="939">
          <cell r="C939">
            <v>45047</v>
          </cell>
        </row>
        <row r="940">
          <cell r="C940">
            <v>45048</v>
          </cell>
        </row>
        <row r="941">
          <cell r="C941">
            <v>45049</v>
          </cell>
          <cell r="L941">
            <v>106</v>
          </cell>
        </row>
        <row r="942">
          <cell r="C942">
            <v>45050</v>
          </cell>
          <cell r="L942">
            <v>107</v>
          </cell>
        </row>
        <row r="943">
          <cell r="C943">
            <v>45051</v>
          </cell>
          <cell r="L943">
            <v>287</v>
          </cell>
        </row>
        <row r="944">
          <cell r="C944">
            <v>45052</v>
          </cell>
          <cell r="L944">
            <v>205</v>
          </cell>
        </row>
        <row r="945">
          <cell r="C945">
            <v>45053</v>
          </cell>
          <cell r="L945">
            <v>115</v>
          </cell>
        </row>
        <row r="946">
          <cell r="C946">
            <v>45054</v>
          </cell>
          <cell r="L946">
            <v>64</v>
          </cell>
        </row>
        <row r="947">
          <cell r="C947">
            <v>45055</v>
          </cell>
          <cell r="L947">
            <v>106</v>
          </cell>
        </row>
        <row r="948">
          <cell r="C948">
            <v>45056</v>
          </cell>
          <cell r="L948">
            <v>54</v>
          </cell>
        </row>
        <row r="949">
          <cell r="C949">
            <v>45057</v>
          </cell>
          <cell r="L949">
            <v>96</v>
          </cell>
        </row>
        <row r="950">
          <cell r="C950">
            <v>45058</v>
          </cell>
          <cell r="L950">
            <v>101</v>
          </cell>
        </row>
        <row r="951">
          <cell r="C951">
            <v>45059</v>
          </cell>
          <cell r="L951">
            <v>282</v>
          </cell>
        </row>
        <row r="952">
          <cell r="C952">
            <v>45060</v>
          </cell>
          <cell r="L952">
            <v>173</v>
          </cell>
        </row>
        <row r="953">
          <cell r="C953">
            <v>45061</v>
          </cell>
          <cell r="L953">
            <v>85</v>
          </cell>
        </row>
        <row r="954">
          <cell r="C954">
            <v>45062</v>
          </cell>
          <cell r="L954">
            <v>84</v>
          </cell>
        </row>
        <row r="955">
          <cell r="C955">
            <v>45063</v>
          </cell>
          <cell r="L955">
            <v>111</v>
          </cell>
        </row>
        <row r="956">
          <cell r="C956">
            <v>45064</v>
          </cell>
          <cell r="L956">
            <v>107</v>
          </cell>
        </row>
        <row r="957">
          <cell r="C957">
            <v>45065</v>
          </cell>
          <cell r="L957">
            <v>134</v>
          </cell>
        </row>
        <row r="958">
          <cell r="C958">
            <v>45066</v>
          </cell>
          <cell r="L958">
            <v>213</v>
          </cell>
        </row>
        <row r="959">
          <cell r="C959">
            <v>45067</v>
          </cell>
          <cell r="L959">
            <v>184</v>
          </cell>
        </row>
        <row r="960">
          <cell r="C960">
            <v>45068</v>
          </cell>
          <cell r="L960">
            <v>59</v>
          </cell>
        </row>
        <row r="961">
          <cell r="C961">
            <v>45069</v>
          </cell>
          <cell r="L961">
            <v>100</v>
          </cell>
        </row>
        <row r="962">
          <cell r="C962">
            <v>45070</v>
          </cell>
          <cell r="L962">
            <v>73</v>
          </cell>
        </row>
        <row r="963">
          <cell r="C963">
            <v>45071</v>
          </cell>
          <cell r="L963">
            <v>97</v>
          </cell>
        </row>
        <row r="964">
          <cell r="C964">
            <v>45072</v>
          </cell>
          <cell r="L964">
            <v>112</v>
          </cell>
        </row>
        <row r="965">
          <cell r="C965">
            <v>45073</v>
          </cell>
          <cell r="L965">
            <v>266</v>
          </cell>
        </row>
        <row r="966">
          <cell r="C966">
            <v>45074</v>
          </cell>
          <cell r="L966">
            <v>204</v>
          </cell>
        </row>
        <row r="967">
          <cell r="C967">
            <v>45075</v>
          </cell>
          <cell r="L967">
            <v>200</v>
          </cell>
        </row>
        <row r="968">
          <cell r="C968">
            <v>45076</v>
          </cell>
          <cell r="L968">
            <v>68</v>
          </cell>
        </row>
        <row r="969">
          <cell r="C969">
            <v>45077</v>
          </cell>
          <cell r="L969">
            <v>128</v>
          </cell>
        </row>
        <row r="970">
          <cell r="C970">
            <v>45078</v>
          </cell>
          <cell r="L970">
            <v>54</v>
          </cell>
        </row>
        <row r="971">
          <cell r="C971">
            <v>45079</v>
          </cell>
          <cell r="L971">
            <v>122</v>
          </cell>
        </row>
        <row r="972">
          <cell r="C972">
            <v>45080</v>
          </cell>
          <cell r="L972">
            <v>157</v>
          </cell>
        </row>
        <row r="973">
          <cell r="C973">
            <v>45081</v>
          </cell>
          <cell r="L973">
            <v>164</v>
          </cell>
        </row>
        <row r="974">
          <cell r="C974">
            <v>45082</v>
          </cell>
          <cell r="L974">
            <v>125</v>
          </cell>
        </row>
        <row r="975">
          <cell r="C975">
            <v>45083</v>
          </cell>
          <cell r="L975">
            <v>131</v>
          </cell>
        </row>
        <row r="976">
          <cell r="C976">
            <v>45084</v>
          </cell>
          <cell r="L976">
            <v>83</v>
          </cell>
        </row>
        <row r="977">
          <cell r="C977">
            <v>45085</v>
          </cell>
          <cell r="L977">
            <v>97</v>
          </cell>
        </row>
        <row r="978">
          <cell r="C978">
            <v>45086</v>
          </cell>
          <cell r="L978">
            <v>68</v>
          </cell>
        </row>
        <row r="979">
          <cell r="C979">
            <v>45087</v>
          </cell>
          <cell r="L979">
            <v>195</v>
          </cell>
        </row>
        <row r="980">
          <cell r="C980">
            <v>45088</v>
          </cell>
          <cell r="L980">
            <v>158</v>
          </cell>
        </row>
        <row r="981">
          <cell r="C981">
            <v>45089</v>
          </cell>
          <cell r="L981">
            <v>25</v>
          </cell>
        </row>
        <row r="982">
          <cell r="C982">
            <v>45090</v>
          </cell>
          <cell r="L982">
            <v>122</v>
          </cell>
        </row>
        <row r="983">
          <cell r="C983">
            <v>45091</v>
          </cell>
          <cell r="L983">
            <v>102</v>
          </cell>
        </row>
        <row r="984">
          <cell r="C984">
            <v>45092</v>
          </cell>
          <cell r="L984">
            <v>74</v>
          </cell>
        </row>
        <row r="985">
          <cell r="C985">
            <v>45093</v>
          </cell>
          <cell r="L985">
            <v>159</v>
          </cell>
        </row>
        <row r="986">
          <cell r="C986">
            <v>45094</v>
          </cell>
          <cell r="L986">
            <v>194</v>
          </cell>
        </row>
        <row r="987">
          <cell r="C987">
            <v>45095</v>
          </cell>
          <cell r="L987">
            <v>154</v>
          </cell>
        </row>
        <row r="988">
          <cell r="C988">
            <v>45096</v>
          </cell>
          <cell r="L988">
            <v>84</v>
          </cell>
        </row>
        <row r="989">
          <cell r="C989">
            <v>45097</v>
          </cell>
          <cell r="L989">
            <v>62</v>
          </cell>
        </row>
        <row r="990">
          <cell r="C990">
            <v>45098</v>
          </cell>
          <cell r="L990">
            <v>84</v>
          </cell>
        </row>
        <row r="991">
          <cell r="C991">
            <v>45099</v>
          </cell>
          <cell r="L991">
            <v>140</v>
          </cell>
        </row>
        <row r="992">
          <cell r="C992">
            <v>45100</v>
          </cell>
          <cell r="L992">
            <v>106</v>
          </cell>
        </row>
        <row r="993">
          <cell r="C993">
            <v>45101</v>
          </cell>
          <cell r="L993">
            <v>189</v>
          </cell>
        </row>
        <row r="994">
          <cell r="C994">
            <v>45102</v>
          </cell>
          <cell r="L994">
            <v>177</v>
          </cell>
        </row>
        <row r="995">
          <cell r="C995">
            <v>45103</v>
          </cell>
          <cell r="L995">
            <v>65</v>
          </cell>
        </row>
        <row r="996">
          <cell r="C996">
            <v>45104</v>
          </cell>
          <cell r="L996">
            <v>76</v>
          </cell>
        </row>
        <row r="997">
          <cell r="C997">
            <v>45105</v>
          </cell>
          <cell r="L997">
            <v>150</v>
          </cell>
        </row>
        <row r="998">
          <cell r="C998">
            <v>45106</v>
          </cell>
          <cell r="L998">
            <v>110</v>
          </cell>
        </row>
        <row r="999">
          <cell r="C999">
            <v>45107</v>
          </cell>
          <cell r="L999">
            <v>145</v>
          </cell>
        </row>
        <row r="1000">
          <cell r="C1000">
            <v>45108</v>
          </cell>
          <cell r="L1000">
            <v>223</v>
          </cell>
        </row>
        <row r="1001">
          <cell r="C1001">
            <v>45109</v>
          </cell>
          <cell r="L1001">
            <v>318</v>
          </cell>
        </row>
        <row r="1002">
          <cell r="C1002">
            <v>45110</v>
          </cell>
          <cell r="L1002">
            <v>140</v>
          </cell>
        </row>
        <row r="1003">
          <cell r="C1003">
            <v>45111</v>
          </cell>
          <cell r="L1003">
            <v>81</v>
          </cell>
        </row>
        <row r="1004">
          <cell r="C1004">
            <v>45112</v>
          </cell>
          <cell r="L1004">
            <v>137</v>
          </cell>
        </row>
        <row r="1005">
          <cell r="C1005">
            <v>45113</v>
          </cell>
          <cell r="L1005">
            <v>120</v>
          </cell>
        </row>
        <row r="1006">
          <cell r="C1006">
            <v>45114</v>
          </cell>
          <cell r="L1006">
            <v>166</v>
          </cell>
        </row>
        <row r="1007">
          <cell r="C1007">
            <v>45115</v>
          </cell>
          <cell r="L1007">
            <v>251</v>
          </cell>
        </row>
        <row r="1008">
          <cell r="C1008">
            <v>45116</v>
          </cell>
          <cell r="L1008">
            <v>323</v>
          </cell>
        </row>
        <row r="1009">
          <cell r="C1009">
            <v>45117</v>
          </cell>
          <cell r="L1009">
            <v>21</v>
          </cell>
        </row>
        <row r="1010">
          <cell r="C1010">
            <v>45118</v>
          </cell>
          <cell r="L1010">
            <v>123</v>
          </cell>
        </row>
        <row r="1011">
          <cell r="C1011">
            <v>45119</v>
          </cell>
          <cell r="L1011">
            <v>148</v>
          </cell>
        </row>
        <row r="1012">
          <cell r="C1012">
            <v>45120</v>
          </cell>
          <cell r="L1012">
            <v>81</v>
          </cell>
        </row>
        <row r="1013">
          <cell r="C1013">
            <v>45121</v>
          </cell>
          <cell r="L1013">
            <v>400</v>
          </cell>
        </row>
        <row r="1014">
          <cell r="C1014">
            <v>45122</v>
          </cell>
          <cell r="L1014">
            <v>408</v>
          </cell>
        </row>
        <row r="1015">
          <cell r="C1015">
            <v>45123</v>
          </cell>
          <cell r="L1015">
            <v>384</v>
          </cell>
        </row>
        <row r="1016">
          <cell r="C1016">
            <v>45124</v>
          </cell>
          <cell r="L1016">
            <v>147</v>
          </cell>
        </row>
        <row r="1017">
          <cell r="C1017">
            <v>45125</v>
          </cell>
          <cell r="L1017">
            <v>87</v>
          </cell>
        </row>
        <row r="1018">
          <cell r="C1018">
            <v>45126</v>
          </cell>
          <cell r="L1018">
            <v>122</v>
          </cell>
        </row>
        <row r="1019">
          <cell r="C1019">
            <v>45127</v>
          </cell>
          <cell r="L1019">
            <v>126</v>
          </cell>
        </row>
        <row r="1020">
          <cell r="C1020">
            <v>45128</v>
          </cell>
          <cell r="L1020">
            <v>194</v>
          </cell>
        </row>
        <row r="1021">
          <cell r="C1021">
            <v>45129</v>
          </cell>
          <cell r="L1021">
            <v>497</v>
          </cell>
        </row>
        <row r="1022">
          <cell r="C1022">
            <v>45130</v>
          </cell>
          <cell r="L1022">
            <v>437</v>
          </cell>
        </row>
        <row r="1023">
          <cell r="C1023">
            <v>45131</v>
          </cell>
          <cell r="L1023">
            <v>197</v>
          </cell>
        </row>
        <row r="1024">
          <cell r="C1024">
            <v>45132</v>
          </cell>
          <cell r="L1024">
            <v>175</v>
          </cell>
        </row>
        <row r="1025">
          <cell r="C1025">
            <v>45133</v>
          </cell>
          <cell r="L1025">
            <v>288</v>
          </cell>
        </row>
        <row r="1026">
          <cell r="C1026">
            <v>45134</v>
          </cell>
          <cell r="L1026">
            <v>211</v>
          </cell>
        </row>
        <row r="1027">
          <cell r="C1027">
            <v>45135</v>
          </cell>
          <cell r="L1027">
            <v>264</v>
          </cell>
        </row>
        <row r="1028">
          <cell r="C1028">
            <v>45136</v>
          </cell>
          <cell r="L1028">
            <v>695</v>
          </cell>
        </row>
        <row r="1029">
          <cell r="C1029">
            <v>45137</v>
          </cell>
          <cell r="L1029">
            <v>649</v>
          </cell>
        </row>
        <row r="1030">
          <cell r="C1030">
            <v>45138</v>
          </cell>
          <cell r="L1030">
            <v>314</v>
          </cell>
        </row>
        <row r="1031">
          <cell r="C1031">
            <v>45139</v>
          </cell>
          <cell r="L1031">
            <v>248</v>
          </cell>
        </row>
        <row r="1032">
          <cell r="C1032">
            <v>45140</v>
          </cell>
          <cell r="L1032">
            <v>262</v>
          </cell>
        </row>
        <row r="1033">
          <cell r="C1033">
            <v>45141</v>
          </cell>
          <cell r="L1033">
            <v>364</v>
          </cell>
        </row>
        <row r="1034">
          <cell r="C1034">
            <v>45142</v>
          </cell>
          <cell r="L1034">
            <v>361</v>
          </cell>
        </row>
        <row r="1035">
          <cell r="C1035">
            <v>45143</v>
          </cell>
          <cell r="L1035">
            <v>701</v>
          </cell>
        </row>
        <row r="1036">
          <cell r="C1036">
            <v>45144</v>
          </cell>
          <cell r="L1036">
            <v>786</v>
          </cell>
        </row>
        <row r="1037">
          <cell r="C1037">
            <v>45145</v>
          </cell>
        </row>
        <row r="1038">
          <cell r="C1038">
            <v>45146</v>
          </cell>
        </row>
        <row r="1039">
          <cell r="C1039">
            <v>45147</v>
          </cell>
        </row>
        <row r="1040">
          <cell r="C1040">
            <v>45148</v>
          </cell>
        </row>
        <row r="1041">
          <cell r="C1041">
            <v>45149</v>
          </cell>
        </row>
        <row r="1042">
          <cell r="C1042">
            <v>45150</v>
          </cell>
        </row>
        <row r="1043">
          <cell r="C1043">
            <v>45151</v>
          </cell>
        </row>
        <row r="1044">
          <cell r="C1044">
            <v>45152</v>
          </cell>
        </row>
        <row r="1045">
          <cell r="C1045">
            <v>45153</v>
          </cell>
        </row>
        <row r="1046">
          <cell r="C1046">
            <v>45154</v>
          </cell>
        </row>
        <row r="1047">
          <cell r="C1047">
            <v>45155</v>
          </cell>
        </row>
        <row r="1048">
          <cell r="C1048">
            <v>45156</v>
          </cell>
        </row>
        <row r="1049">
          <cell r="C1049">
            <v>45157</v>
          </cell>
        </row>
        <row r="1050">
          <cell r="C1050">
            <v>45158</v>
          </cell>
        </row>
        <row r="1051">
          <cell r="C1051">
            <v>45159</v>
          </cell>
        </row>
        <row r="1052">
          <cell r="C1052">
            <v>45160</v>
          </cell>
        </row>
        <row r="1053">
          <cell r="C1053">
            <v>45161</v>
          </cell>
        </row>
        <row r="1054">
          <cell r="C1054">
            <v>45162</v>
          </cell>
        </row>
        <row r="1055">
          <cell r="C1055">
            <v>45163</v>
          </cell>
        </row>
        <row r="1056">
          <cell r="C1056">
            <v>45164</v>
          </cell>
        </row>
        <row r="1057">
          <cell r="C1057">
            <v>45165</v>
          </cell>
        </row>
        <row r="1058">
          <cell r="C1058">
            <v>45166</v>
          </cell>
        </row>
        <row r="1059">
          <cell r="C1059">
            <v>45167</v>
          </cell>
        </row>
        <row r="1060">
          <cell r="C1060">
            <v>45168</v>
          </cell>
        </row>
        <row r="1061">
          <cell r="C1061">
            <v>45169</v>
          </cell>
        </row>
        <row r="1062">
          <cell r="C1062">
            <v>45170</v>
          </cell>
        </row>
        <row r="1063">
          <cell r="C1063">
            <v>45171</v>
          </cell>
        </row>
        <row r="1064">
          <cell r="C1064">
            <v>45172</v>
          </cell>
        </row>
        <row r="1065">
          <cell r="C1065">
            <v>45173</v>
          </cell>
        </row>
        <row r="1066">
          <cell r="C1066">
            <v>45174</v>
          </cell>
        </row>
        <row r="1067">
          <cell r="C1067">
            <v>45175</v>
          </cell>
        </row>
        <row r="1068">
          <cell r="C1068">
            <v>45176</v>
          </cell>
        </row>
        <row r="1069">
          <cell r="C1069">
            <v>45177</v>
          </cell>
        </row>
        <row r="1070">
          <cell r="C1070">
            <v>45178</v>
          </cell>
        </row>
        <row r="1071">
          <cell r="C1071">
            <v>45179</v>
          </cell>
        </row>
        <row r="1072">
          <cell r="C1072">
            <v>45180</v>
          </cell>
        </row>
        <row r="1073">
          <cell r="C1073">
            <v>45181</v>
          </cell>
        </row>
        <row r="1074">
          <cell r="C1074">
            <v>45182</v>
          </cell>
        </row>
        <row r="1075">
          <cell r="C1075">
            <v>45183</v>
          </cell>
        </row>
        <row r="1076">
          <cell r="C1076">
            <v>45184</v>
          </cell>
        </row>
        <row r="1077">
          <cell r="C1077">
            <v>45185</v>
          </cell>
        </row>
        <row r="1078">
          <cell r="C1078">
            <v>45186</v>
          </cell>
        </row>
        <row r="1079">
          <cell r="C1079">
            <v>45187</v>
          </cell>
        </row>
        <row r="1080">
          <cell r="C1080">
            <v>45188</v>
          </cell>
        </row>
        <row r="1081">
          <cell r="C1081">
            <v>45189</v>
          </cell>
        </row>
        <row r="1082">
          <cell r="C1082">
            <v>45190</v>
          </cell>
        </row>
        <row r="1083">
          <cell r="C1083">
            <v>45191</v>
          </cell>
        </row>
        <row r="1084">
          <cell r="C1084">
            <v>45192</v>
          </cell>
        </row>
        <row r="1085">
          <cell r="C1085">
            <v>45193</v>
          </cell>
        </row>
        <row r="1086">
          <cell r="C1086">
            <v>45194</v>
          </cell>
        </row>
        <row r="1087">
          <cell r="C1087">
            <v>45195</v>
          </cell>
          <cell r="L1087">
            <v>227</v>
          </cell>
        </row>
        <row r="1088">
          <cell r="C1088">
            <v>45196</v>
          </cell>
          <cell r="L1088">
            <v>274</v>
          </cell>
        </row>
        <row r="1089">
          <cell r="C1089">
            <v>45197</v>
          </cell>
          <cell r="L1089">
            <v>124</v>
          </cell>
        </row>
        <row r="1090">
          <cell r="C1090">
            <v>45198</v>
          </cell>
          <cell r="L1090">
            <v>105</v>
          </cell>
        </row>
        <row r="1091">
          <cell r="C1091">
            <v>45199</v>
          </cell>
          <cell r="L1091">
            <v>413</v>
          </cell>
        </row>
        <row r="1092">
          <cell r="C1092">
            <v>45200</v>
          </cell>
          <cell r="L1092">
            <v>305</v>
          </cell>
        </row>
        <row r="1093">
          <cell r="C1093">
            <v>45201</v>
          </cell>
          <cell r="L1093">
            <v>349</v>
          </cell>
        </row>
        <row r="1094">
          <cell r="C1094">
            <v>45202</v>
          </cell>
          <cell r="L1094">
            <v>336</v>
          </cell>
        </row>
        <row r="1095">
          <cell r="C1095">
            <v>45203</v>
          </cell>
          <cell r="L1095">
            <v>120</v>
          </cell>
        </row>
        <row r="1096">
          <cell r="C1096">
            <v>45204</v>
          </cell>
          <cell r="L1096">
            <v>96</v>
          </cell>
        </row>
        <row r="1097">
          <cell r="C1097">
            <v>45205</v>
          </cell>
          <cell r="L1097">
            <v>202</v>
          </cell>
        </row>
        <row r="1098">
          <cell r="C1098">
            <v>45206</v>
          </cell>
          <cell r="L1098">
            <v>383</v>
          </cell>
        </row>
        <row r="1099">
          <cell r="C1099">
            <v>45207</v>
          </cell>
          <cell r="L1099">
            <v>404</v>
          </cell>
        </row>
        <row r="1100">
          <cell r="C1100">
            <v>45208</v>
          </cell>
          <cell r="L1100">
            <v>371</v>
          </cell>
        </row>
        <row r="1101">
          <cell r="C1101">
            <v>45209</v>
          </cell>
          <cell r="L1101">
            <v>126</v>
          </cell>
        </row>
        <row r="1102">
          <cell r="C1102">
            <v>45210</v>
          </cell>
          <cell r="L1102">
            <v>99</v>
          </cell>
        </row>
        <row r="1103">
          <cell r="C1103">
            <v>45211</v>
          </cell>
          <cell r="L1103">
            <v>236</v>
          </cell>
        </row>
        <row r="1104">
          <cell r="C1104">
            <v>45212</v>
          </cell>
          <cell r="L1104">
            <v>189</v>
          </cell>
        </row>
        <row r="1105">
          <cell r="C1105">
            <v>45213</v>
          </cell>
          <cell r="L1105">
            <v>567</v>
          </cell>
        </row>
        <row r="1106">
          <cell r="C1106">
            <v>45214</v>
          </cell>
          <cell r="L1106">
            <v>341</v>
          </cell>
        </row>
        <row r="1107">
          <cell r="C1107">
            <v>45215</v>
          </cell>
        </row>
        <row r="1108">
          <cell r="C1108">
            <v>45216</v>
          </cell>
          <cell r="L1108">
            <v>114</v>
          </cell>
        </row>
        <row r="1109">
          <cell r="C1109">
            <v>45217</v>
          </cell>
          <cell r="L1109">
            <v>129</v>
          </cell>
        </row>
        <row r="1110">
          <cell r="C1110">
            <v>45218</v>
          </cell>
          <cell r="L1110">
            <v>159</v>
          </cell>
        </row>
        <row r="1111">
          <cell r="C1111">
            <v>45219</v>
          </cell>
          <cell r="L1111">
            <v>203</v>
          </cell>
        </row>
        <row r="1112">
          <cell r="C1112">
            <v>45220</v>
          </cell>
          <cell r="L1112">
            <v>525</v>
          </cell>
        </row>
        <row r="1113">
          <cell r="C1113">
            <v>45221</v>
          </cell>
          <cell r="L1113">
            <v>353</v>
          </cell>
        </row>
        <row r="1114">
          <cell r="C1114">
            <v>45222</v>
          </cell>
          <cell r="L1114">
            <v>163</v>
          </cell>
        </row>
        <row r="1115">
          <cell r="C1115">
            <v>45223</v>
          </cell>
          <cell r="L1115">
            <v>105</v>
          </cell>
        </row>
        <row r="1116">
          <cell r="C1116">
            <v>45224</v>
          </cell>
          <cell r="L1116">
            <v>130</v>
          </cell>
        </row>
        <row r="1117">
          <cell r="C1117">
            <v>45225</v>
          </cell>
          <cell r="L1117">
            <v>120</v>
          </cell>
        </row>
        <row r="1118">
          <cell r="C1118">
            <v>45226</v>
          </cell>
          <cell r="L1118">
            <v>177</v>
          </cell>
        </row>
        <row r="1119">
          <cell r="C1119">
            <v>45227</v>
          </cell>
          <cell r="L1119">
            <v>326</v>
          </cell>
        </row>
        <row r="1120">
          <cell r="C1120">
            <v>45228</v>
          </cell>
          <cell r="L1120">
            <v>320</v>
          </cell>
        </row>
        <row r="1121">
          <cell r="C1121">
            <v>45229</v>
          </cell>
          <cell r="L1121">
            <v>94</v>
          </cell>
        </row>
        <row r="1122">
          <cell r="C1122">
            <v>45230</v>
          </cell>
          <cell r="L1122">
            <v>122</v>
          </cell>
        </row>
        <row r="1123">
          <cell r="C1123">
            <v>45231</v>
          </cell>
          <cell r="L1123">
            <v>127</v>
          </cell>
        </row>
        <row r="1124">
          <cell r="C1124">
            <v>45232</v>
          </cell>
          <cell r="L1124">
            <v>95</v>
          </cell>
        </row>
        <row r="1125">
          <cell r="C1125">
            <v>45233</v>
          </cell>
          <cell r="L1125">
            <v>151</v>
          </cell>
        </row>
        <row r="1126">
          <cell r="C1126">
            <v>45234</v>
          </cell>
          <cell r="L1126">
            <v>487</v>
          </cell>
        </row>
        <row r="1127">
          <cell r="C1127">
            <v>45235</v>
          </cell>
          <cell r="L1127">
            <v>427</v>
          </cell>
        </row>
        <row r="1128">
          <cell r="C1128">
            <v>45236</v>
          </cell>
        </row>
        <row r="1129">
          <cell r="C1129">
            <v>45237</v>
          </cell>
          <cell r="L1129">
            <v>135</v>
          </cell>
        </row>
        <row r="1130">
          <cell r="C1130">
            <v>45238</v>
          </cell>
          <cell r="L1130">
            <v>161</v>
          </cell>
        </row>
        <row r="1131">
          <cell r="C1131">
            <v>45239</v>
          </cell>
          <cell r="L1131">
            <v>126</v>
          </cell>
        </row>
        <row r="1132">
          <cell r="C1132">
            <v>45240</v>
          </cell>
          <cell r="L1132">
            <v>153</v>
          </cell>
        </row>
        <row r="1133">
          <cell r="C1133">
            <v>45241</v>
          </cell>
          <cell r="L1133">
            <v>521</v>
          </cell>
        </row>
        <row r="1134">
          <cell r="C1134">
            <v>45242</v>
          </cell>
          <cell r="L1134">
            <v>523</v>
          </cell>
        </row>
        <row r="1135">
          <cell r="C1135">
            <v>45243</v>
          </cell>
          <cell r="L1135">
            <v>157</v>
          </cell>
        </row>
        <row r="1136">
          <cell r="C1136">
            <v>45244</v>
          </cell>
          <cell r="L1136">
            <v>102</v>
          </cell>
        </row>
        <row r="1137">
          <cell r="C1137">
            <v>45245</v>
          </cell>
          <cell r="L1137">
            <v>143</v>
          </cell>
        </row>
        <row r="1138">
          <cell r="C1138">
            <v>45246</v>
          </cell>
          <cell r="L1138">
            <v>125</v>
          </cell>
        </row>
        <row r="1139">
          <cell r="C1139">
            <v>45247</v>
          </cell>
          <cell r="L1139">
            <v>269</v>
          </cell>
        </row>
        <row r="1140">
          <cell r="C1140">
            <v>45248</v>
          </cell>
          <cell r="L1140">
            <v>502</v>
          </cell>
        </row>
        <row r="1141">
          <cell r="C1141">
            <v>45249</v>
          </cell>
          <cell r="L1141">
            <v>564</v>
          </cell>
        </row>
        <row r="1142">
          <cell r="C1142">
            <v>45250</v>
          </cell>
          <cell r="L1142">
            <v>135</v>
          </cell>
        </row>
        <row r="1143">
          <cell r="C1143">
            <v>45251</v>
          </cell>
          <cell r="L1143">
            <v>117</v>
          </cell>
        </row>
        <row r="1144">
          <cell r="C1144">
            <v>45252</v>
          </cell>
          <cell r="L1144">
            <v>157</v>
          </cell>
        </row>
        <row r="1145">
          <cell r="C1145">
            <v>45253</v>
          </cell>
          <cell r="L1145">
            <v>169</v>
          </cell>
        </row>
        <row r="1146">
          <cell r="C1146">
            <v>45254</v>
          </cell>
          <cell r="L1146">
            <v>263</v>
          </cell>
        </row>
        <row r="1147">
          <cell r="C1147">
            <v>45255</v>
          </cell>
          <cell r="L1147">
            <v>544</v>
          </cell>
        </row>
        <row r="1148">
          <cell r="C1148">
            <v>45256</v>
          </cell>
          <cell r="L1148">
            <v>532</v>
          </cell>
        </row>
        <row r="1149">
          <cell r="C1149">
            <v>45257</v>
          </cell>
          <cell r="L1149">
            <v>136</v>
          </cell>
        </row>
        <row r="1150">
          <cell r="C1150">
            <v>45258</v>
          </cell>
          <cell r="L1150">
            <v>138</v>
          </cell>
        </row>
        <row r="1151">
          <cell r="C1151">
            <v>45259</v>
          </cell>
          <cell r="L1151">
            <v>146</v>
          </cell>
        </row>
        <row r="1152">
          <cell r="C1152">
            <v>45260</v>
          </cell>
          <cell r="L1152">
            <v>118</v>
          </cell>
        </row>
        <row r="1153">
          <cell r="C1153">
            <v>45261</v>
          </cell>
          <cell r="L1153">
            <v>159</v>
          </cell>
        </row>
        <row r="1154">
          <cell r="C1154">
            <v>45262</v>
          </cell>
          <cell r="L1154">
            <v>502</v>
          </cell>
        </row>
        <row r="1155">
          <cell r="C1155">
            <v>45263</v>
          </cell>
          <cell r="L1155">
            <v>464</v>
          </cell>
        </row>
        <row r="1156">
          <cell r="C1156">
            <v>45264</v>
          </cell>
          <cell r="L1156">
            <v>94</v>
          </cell>
        </row>
        <row r="1157">
          <cell r="C1157">
            <v>45265</v>
          </cell>
          <cell r="L1157">
            <v>139</v>
          </cell>
        </row>
        <row r="1158">
          <cell r="C1158">
            <v>45266</v>
          </cell>
          <cell r="L1158">
            <v>135</v>
          </cell>
        </row>
        <row r="1159">
          <cell r="C1159">
            <v>45267</v>
          </cell>
          <cell r="L1159">
            <v>250</v>
          </cell>
        </row>
        <row r="1160">
          <cell r="C1160">
            <v>45268</v>
          </cell>
          <cell r="L1160">
            <v>193</v>
          </cell>
        </row>
        <row r="1161">
          <cell r="C1161">
            <v>45269</v>
          </cell>
          <cell r="L1161">
            <v>602</v>
          </cell>
        </row>
        <row r="1162">
          <cell r="C1162">
            <v>45270</v>
          </cell>
          <cell r="L1162">
            <v>482</v>
          </cell>
        </row>
        <row r="1163">
          <cell r="C1163">
            <v>45271</v>
          </cell>
          <cell r="L1163">
            <v>161</v>
          </cell>
        </row>
        <row r="1164">
          <cell r="C1164">
            <v>45272</v>
          </cell>
          <cell r="L1164">
            <v>188</v>
          </cell>
        </row>
        <row r="1165">
          <cell r="C1165">
            <v>45273</v>
          </cell>
          <cell r="L1165">
            <v>236</v>
          </cell>
        </row>
        <row r="1166">
          <cell r="C1166">
            <v>45274</v>
          </cell>
          <cell r="L1166">
            <v>154</v>
          </cell>
        </row>
        <row r="1167">
          <cell r="C1167">
            <v>45275</v>
          </cell>
          <cell r="L1167">
            <v>451</v>
          </cell>
        </row>
        <row r="1168">
          <cell r="C1168">
            <v>45276</v>
          </cell>
          <cell r="L1168">
            <v>619</v>
          </cell>
        </row>
        <row r="1169">
          <cell r="C1169">
            <v>45277</v>
          </cell>
          <cell r="L1169">
            <v>542</v>
          </cell>
        </row>
        <row r="1170">
          <cell r="C1170">
            <v>45278</v>
          </cell>
          <cell r="L1170">
            <v>263</v>
          </cell>
        </row>
        <row r="1171">
          <cell r="C1171">
            <v>45279</v>
          </cell>
          <cell r="L1171">
            <v>234</v>
          </cell>
        </row>
        <row r="1172">
          <cell r="C1172">
            <v>45280</v>
          </cell>
          <cell r="L1172">
            <v>332</v>
          </cell>
        </row>
        <row r="1173">
          <cell r="C1173">
            <v>45281</v>
          </cell>
          <cell r="L1173">
            <v>265</v>
          </cell>
        </row>
        <row r="1174">
          <cell r="C1174">
            <v>45282</v>
          </cell>
          <cell r="L1174">
            <v>370</v>
          </cell>
        </row>
        <row r="1175">
          <cell r="C1175">
            <v>45283</v>
          </cell>
          <cell r="L1175">
            <v>690</v>
          </cell>
        </row>
        <row r="1176">
          <cell r="C1176">
            <v>45284</v>
          </cell>
          <cell r="L1176">
            <v>713</v>
          </cell>
        </row>
        <row r="1177">
          <cell r="C1177">
            <v>45285</v>
          </cell>
          <cell r="L1177">
            <v>799</v>
          </cell>
        </row>
        <row r="1178">
          <cell r="C1178">
            <v>45286</v>
          </cell>
          <cell r="L1178">
            <v>399</v>
          </cell>
        </row>
        <row r="1179">
          <cell r="C1179">
            <v>45287</v>
          </cell>
          <cell r="L1179">
            <v>421</v>
          </cell>
        </row>
        <row r="1180">
          <cell r="C1180">
            <v>45288</v>
          </cell>
          <cell r="L1180">
            <v>564</v>
          </cell>
        </row>
        <row r="1181">
          <cell r="C1181">
            <v>45289</v>
          </cell>
          <cell r="L1181">
            <v>689</v>
          </cell>
        </row>
        <row r="1182">
          <cell r="C1182">
            <v>45290</v>
          </cell>
          <cell r="L1182">
            <v>772</v>
          </cell>
        </row>
        <row r="1183">
          <cell r="C1183">
            <v>45291</v>
          </cell>
          <cell r="L1183">
            <v>1190</v>
          </cell>
        </row>
        <row r="1184">
          <cell r="C1184">
            <v>45292</v>
          </cell>
        </row>
        <row r="1185">
          <cell r="C1185">
            <v>45293</v>
          </cell>
        </row>
        <row r="1186">
          <cell r="C1186">
            <v>45294</v>
          </cell>
        </row>
        <row r="1187">
          <cell r="C1187">
            <v>45295</v>
          </cell>
        </row>
        <row r="1188">
          <cell r="C1188">
            <v>45296</v>
          </cell>
        </row>
        <row r="1189">
          <cell r="C1189">
            <v>45297</v>
          </cell>
        </row>
        <row r="1190">
          <cell r="C1190">
            <v>45298</v>
          </cell>
        </row>
        <row r="1191">
          <cell r="C1191">
            <v>45299</v>
          </cell>
        </row>
        <row r="1192">
          <cell r="C1192">
            <v>45300</v>
          </cell>
        </row>
        <row r="1193">
          <cell r="C1193">
            <v>45301</v>
          </cell>
        </row>
        <row r="1194">
          <cell r="C1194">
            <v>45302</v>
          </cell>
        </row>
        <row r="1195">
          <cell r="C1195">
            <v>45303</v>
          </cell>
        </row>
        <row r="1196">
          <cell r="C1196">
            <v>45304</v>
          </cell>
        </row>
        <row r="1197">
          <cell r="C1197">
            <v>45305</v>
          </cell>
        </row>
        <row r="1198">
          <cell r="C1198">
            <v>45306</v>
          </cell>
        </row>
        <row r="1199">
          <cell r="C1199">
            <v>45307</v>
          </cell>
        </row>
        <row r="1200">
          <cell r="C1200">
            <v>45308</v>
          </cell>
        </row>
        <row r="1201">
          <cell r="C1201">
            <v>45309</v>
          </cell>
        </row>
        <row r="1202">
          <cell r="C1202">
            <v>45310</v>
          </cell>
        </row>
        <row r="1203">
          <cell r="C1203">
            <v>45311</v>
          </cell>
        </row>
        <row r="1204">
          <cell r="C1204">
            <v>45312</v>
          </cell>
        </row>
        <row r="1205">
          <cell r="C1205">
            <v>45313</v>
          </cell>
        </row>
        <row r="1206">
          <cell r="C1206">
            <v>45314</v>
          </cell>
        </row>
        <row r="1207">
          <cell r="C1207">
            <v>45315</v>
          </cell>
        </row>
        <row r="1208">
          <cell r="C1208">
            <v>45316</v>
          </cell>
        </row>
        <row r="1209">
          <cell r="C1209">
            <v>45317</v>
          </cell>
        </row>
        <row r="1210">
          <cell r="C1210">
            <v>45318</v>
          </cell>
        </row>
        <row r="1211">
          <cell r="C1211">
            <v>45319</v>
          </cell>
        </row>
        <row r="1212">
          <cell r="C1212">
            <v>45320</v>
          </cell>
        </row>
        <row r="1213">
          <cell r="C1213">
            <v>45321</v>
          </cell>
        </row>
        <row r="1214">
          <cell r="C1214">
            <v>45322</v>
          </cell>
        </row>
        <row r="1215">
          <cell r="C1215">
            <v>45323</v>
          </cell>
        </row>
        <row r="1216">
          <cell r="C1216">
            <v>45324</v>
          </cell>
        </row>
        <row r="1217">
          <cell r="C1217">
            <v>45325</v>
          </cell>
        </row>
        <row r="1218">
          <cell r="C1218">
            <v>45326</v>
          </cell>
        </row>
        <row r="1219">
          <cell r="C1219">
            <v>45327</v>
          </cell>
        </row>
        <row r="1220">
          <cell r="C1220">
            <v>45328</v>
          </cell>
        </row>
        <row r="1221">
          <cell r="C1221">
            <v>45329</v>
          </cell>
        </row>
        <row r="1222">
          <cell r="C1222">
            <v>45330</v>
          </cell>
        </row>
        <row r="1223">
          <cell r="C1223">
            <v>45331</v>
          </cell>
        </row>
        <row r="1224">
          <cell r="C1224">
            <v>45332</v>
          </cell>
        </row>
        <row r="1225">
          <cell r="C1225">
            <v>45333</v>
          </cell>
        </row>
        <row r="1226">
          <cell r="C1226">
            <v>45334</v>
          </cell>
        </row>
        <row r="1227">
          <cell r="C1227">
            <v>45335</v>
          </cell>
        </row>
        <row r="1228">
          <cell r="C1228">
            <v>45336</v>
          </cell>
        </row>
        <row r="1229">
          <cell r="C1229">
            <v>45337</v>
          </cell>
        </row>
        <row r="1230">
          <cell r="C1230">
            <v>45338</v>
          </cell>
        </row>
        <row r="1231">
          <cell r="C1231">
            <v>45339</v>
          </cell>
        </row>
        <row r="1232">
          <cell r="C1232">
            <v>45340</v>
          </cell>
        </row>
        <row r="1233">
          <cell r="C1233">
            <v>45341</v>
          </cell>
        </row>
        <row r="1234">
          <cell r="C1234">
            <v>45342</v>
          </cell>
        </row>
        <row r="1235">
          <cell r="C1235">
            <v>45343</v>
          </cell>
        </row>
        <row r="1236">
          <cell r="C1236">
            <v>45344</v>
          </cell>
        </row>
        <row r="1237">
          <cell r="C1237">
            <v>45345</v>
          </cell>
        </row>
        <row r="1238">
          <cell r="C1238">
            <v>45346</v>
          </cell>
          <cell r="L1238">
            <v>626</v>
          </cell>
        </row>
        <row r="1239">
          <cell r="C1239">
            <v>45347</v>
          </cell>
          <cell r="L1239">
            <v>389</v>
          </cell>
        </row>
        <row r="1240">
          <cell r="C1240">
            <v>45348</v>
          </cell>
          <cell r="L1240">
            <v>135</v>
          </cell>
        </row>
        <row r="1241">
          <cell r="C1241">
            <v>45349</v>
          </cell>
          <cell r="L1241">
            <v>161</v>
          </cell>
        </row>
        <row r="1242">
          <cell r="C1242">
            <v>45350</v>
          </cell>
          <cell r="L1242">
            <v>175</v>
          </cell>
        </row>
        <row r="1243">
          <cell r="C1243">
            <v>45351</v>
          </cell>
          <cell r="L1243">
            <v>140</v>
          </cell>
        </row>
        <row r="1244">
          <cell r="C1244">
            <v>45352</v>
          </cell>
          <cell r="L1244">
            <v>637</v>
          </cell>
        </row>
        <row r="1245">
          <cell r="C1245">
            <v>45353</v>
          </cell>
          <cell r="L1245">
            <v>452</v>
          </cell>
        </row>
        <row r="1246">
          <cell r="C1246">
            <v>45354</v>
          </cell>
          <cell r="L1246">
            <v>241</v>
          </cell>
        </row>
        <row r="1247">
          <cell r="C1247">
            <v>45355</v>
          </cell>
          <cell r="L1247">
            <v>0</v>
          </cell>
        </row>
        <row r="1248">
          <cell r="C1248">
            <v>45356</v>
          </cell>
          <cell r="L1248">
            <v>98</v>
          </cell>
        </row>
        <row r="1249">
          <cell r="C1249">
            <v>45357</v>
          </cell>
          <cell r="L1249">
            <v>106</v>
          </cell>
        </row>
        <row r="1250">
          <cell r="C1250">
            <v>45358</v>
          </cell>
        </row>
        <row r="1251">
          <cell r="C1251">
            <v>45359</v>
          </cell>
        </row>
        <row r="1252">
          <cell r="C1252">
            <v>45360</v>
          </cell>
        </row>
        <row r="1253">
          <cell r="C1253">
            <v>45361</v>
          </cell>
        </row>
        <row r="1254">
          <cell r="C1254">
            <v>45362</v>
          </cell>
        </row>
        <row r="1255">
          <cell r="C1255">
            <v>45363</v>
          </cell>
        </row>
        <row r="1256">
          <cell r="C1256">
            <v>45364</v>
          </cell>
        </row>
        <row r="1257">
          <cell r="C1257">
            <v>45365</v>
          </cell>
        </row>
        <row r="1258">
          <cell r="C1258">
            <v>45366</v>
          </cell>
        </row>
        <row r="1259">
          <cell r="C1259">
            <v>45367</v>
          </cell>
        </row>
        <row r="1260">
          <cell r="C1260">
            <v>45368</v>
          </cell>
        </row>
        <row r="1261">
          <cell r="C1261">
            <v>45369</v>
          </cell>
        </row>
        <row r="1262">
          <cell r="C1262">
            <v>45370</v>
          </cell>
        </row>
        <row r="1263">
          <cell r="C1263">
            <v>45371</v>
          </cell>
        </row>
        <row r="1264">
          <cell r="C1264">
            <v>45372</v>
          </cell>
        </row>
        <row r="1265">
          <cell r="C1265">
            <v>45373</v>
          </cell>
        </row>
        <row r="1266">
          <cell r="C1266">
            <v>45374</v>
          </cell>
        </row>
        <row r="1267">
          <cell r="C1267">
            <v>45375</v>
          </cell>
        </row>
        <row r="1268">
          <cell r="C1268">
            <v>45376</v>
          </cell>
        </row>
        <row r="1269">
          <cell r="C1269">
            <v>45377</v>
          </cell>
        </row>
        <row r="1270">
          <cell r="C1270">
            <v>45378</v>
          </cell>
        </row>
        <row r="1271">
          <cell r="C1271">
            <v>45379</v>
          </cell>
        </row>
        <row r="1272">
          <cell r="C1272">
            <v>45380</v>
          </cell>
        </row>
        <row r="1273">
          <cell r="C1273">
            <v>45381</v>
          </cell>
        </row>
        <row r="1274">
          <cell r="C1274">
            <v>45382</v>
          </cell>
        </row>
        <row r="1275">
          <cell r="C1275">
            <v>45383</v>
          </cell>
        </row>
        <row r="1276">
          <cell r="C1276">
            <v>45384</v>
          </cell>
        </row>
        <row r="1277">
          <cell r="C1277">
            <v>45385</v>
          </cell>
        </row>
        <row r="1278">
          <cell r="C1278">
            <v>45386</v>
          </cell>
        </row>
        <row r="1279">
          <cell r="C1279">
            <v>45387</v>
          </cell>
        </row>
        <row r="1280">
          <cell r="C1280">
            <v>45388</v>
          </cell>
        </row>
        <row r="1281">
          <cell r="C1281">
            <v>45389</v>
          </cell>
        </row>
        <row r="1282">
          <cell r="C1282">
            <v>45390</v>
          </cell>
        </row>
        <row r="1283">
          <cell r="C1283">
            <v>45391</v>
          </cell>
        </row>
        <row r="1284">
          <cell r="C1284">
            <v>45392</v>
          </cell>
        </row>
        <row r="1285">
          <cell r="C1285">
            <v>45393</v>
          </cell>
        </row>
        <row r="1286">
          <cell r="C1286">
            <v>45394</v>
          </cell>
        </row>
        <row r="1287">
          <cell r="C1287">
            <v>45395</v>
          </cell>
        </row>
        <row r="1288">
          <cell r="C1288">
            <v>45396</v>
          </cell>
        </row>
        <row r="1289">
          <cell r="C1289">
            <v>45397</v>
          </cell>
        </row>
        <row r="1290">
          <cell r="C1290">
            <v>45398</v>
          </cell>
        </row>
        <row r="1291">
          <cell r="C1291">
            <v>45399</v>
          </cell>
        </row>
        <row r="1292">
          <cell r="C1292">
            <v>45400</v>
          </cell>
        </row>
        <row r="1293">
          <cell r="C1293">
            <v>45401</v>
          </cell>
        </row>
        <row r="1294">
          <cell r="C1294">
            <v>45402</v>
          </cell>
        </row>
        <row r="1295">
          <cell r="C1295">
            <v>45403</v>
          </cell>
        </row>
        <row r="1296">
          <cell r="C1296">
            <v>45404</v>
          </cell>
        </row>
        <row r="1297">
          <cell r="C1297">
            <v>45405</v>
          </cell>
        </row>
        <row r="1298">
          <cell r="C1298">
            <v>45406</v>
          </cell>
        </row>
        <row r="1299">
          <cell r="C1299">
            <v>45407</v>
          </cell>
        </row>
        <row r="1300">
          <cell r="C1300">
            <v>45408</v>
          </cell>
        </row>
        <row r="1301">
          <cell r="C1301">
            <v>45409</v>
          </cell>
        </row>
        <row r="1302">
          <cell r="C1302">
            <v>45410</v>
          </cell>
        </row>
        <row r="1303">
          <cell r="C1303">
            <v>45411</v>
          </cell>
        </row>
        <row r="1304">
          <cell r="C1304">
            <v>45412</v>
          </cell>
        </row>
        <row r="1305">
          <cell r="C1305">
            <v>45413</v>
          </cell>
        </row>
        <row r="1306">
          <cell r="C1306">
            <v>45414</v>
          </cell>
        </row>
        <row r="1307">
          <cell r="C1307">
            <v>45415</v>
          </cell>
        </row>
        <row r="1308">
          <cell r="C1308">
            <v>45416</v>
          </cell>
        </row>
        <row r="1309">
          <cell r="C1309">
            <v>45417</v>
          </cell>
        </row>
        <row r="1310">
          <cell r="C1310">
            <v>45418</v>
          </cell>
        </row>
        <row r="1311">
          <cell r="C1311">
            <v>45419</v>
          </cell>
        </row>
        <row r="1312">
          <cell r="C1312">
            <v>45420</v>
          </cell>
        </row>
        <row r="1313">
          <cell r="C1313">
            <v>45421</v>
          </cell>
        </row>
        <row r="1314">
          <cell r="C1314">
            <v>45422</v>
          </cell>
        </row>
        <row r="1315">
          <cell r="C1315">
            <v>45423</v>
          </cell>
        </row>
        <row r="1316">
          <cell r="C1316">
            <v>45424</v>
          </cell>
        </row>
        <row r="1317">
          <cell r="C1317">
            <v>45425</v>
          </cell>
        </row>
        <row r="1318">
          <cell r="C1318">
            <v>45426</v>
          </cell>
        </row>
        <row r="1319">
          <cell r="C1319">
            <v>45427</v>
          </cell>
        </row>
        <row r="1320">
          <cell r="C1320">
            <v>45428</v>
          </cell>
        </row>
        <row r="1321">
          <cell r="C1321">
            <v>45429</v>
          </cell>
        </row>
        <row r="1322">
          <cell r="C1322">
            <v>45430</v>
          </cell>
        </row>
        <row r="1323">
          <cell r="C1323">
            <v>45431</v>
          </cell>
        </row>
        <row r="1324">
          <cell r="C1324">
            <v>45432</v>
          </cell>
        </row>
        <row r="1325">
          <cell r="C1325">
            <v>45433</v>
          </cell>
        </row>
        <row r="1326">
          <cell r="C1326">
            <v>45434</v>
          </cell>
        </row>
        <row r="1327">
          <cell r="C1327">
            <v>45435</v>
          </cell>
        </row>
        <row r="1328">
          <cell r="C1328">
            <v>45436</v>
          </cell>
        </row>
        <row r="1329">
          <cell r="C1329">
            <v>45437</v>
          </cell>
        </row>
        <row r="1330">
          <cell r="C1330">
            <v>45438</v>
          </cell>
        </row>
        <row r="1331">
          <cell r="C1331">
            <v>45439</v>
          </cell>
        </row>
        <row r="1332">
          <cell r="C1332">
            <v>45440</v>
          </cell>
        </row>
        <row r="1333">
          <cell r="C1333">
            <v>45441</v>
          </cell>
        </row>
        <row r="1334">
          <cell r="C1334">
            <v>45442</v>
          </cell>
        </row>
        <row r="1335">
          <cell r="C1335">
            <v>45443</v>
          </cell>
        </row>
        <row r="1336">
          <cell r="C1336">
            <v>45444</v>
          </cell>
        </row>
        <row r="1337">
          <cell r="C1337">
            <v>45445</v>
          </cell>
        </row>
        <row r="1338">
          <cell r="C1338">
            <v>45446</v>
          </cell>
        </row>
        <row r="1339">
          <cell r="C1339">
            <v>45447</v>
          </cell>
        </row>
        <row r="1340">
          <cell r="C1340">
            <v>45448</v>
          </cell>
        </row>
        <row r="1341">
          <cell r="C1341">
            <v>45449</v>
          </cell>
        </row>
        <row r="1342">
          <cell r="C1342">
            <v>45450</v>
          </cell>
        </row>
        <row r="1343">
          <cell r="C1343">
            <v>45451</v>
          </cell>
        </row>
        <row r="1344">
          <cell r="C1344">
            <v>45452</v>
          </cell>
        </row>
        <row r="1345">
          <cell r="C1345">
            <v>45453</v>
          </cell>
        </row>
        <row r="1346">
          <cell r="C1346">
            <v>45454</v>
          </cell>
        </row>
        <row r="1347">
          <cell r="C1347">
            <v>45455</v>
          </cell>
        </row>
        <row r="1348">
          <cell r="C1348">
            <v>45456</v>
          </cell>
        </row>
        <row r="1349">
          <cell r="C1349">
            <v>45457</v>
          </cell>
        </row>
        <row r="1350">
          <cell r="C1350">
            <v>45458</v>
          </cell>
        </row>
        <row r="1351">
          <cell r="C1351">
            <v>45459</v>
          </cell>
        </row>
        <row r="1352">
          <cell r="C1352">
            <v>45460</v>
          </cell>
        </row>
        <row r="1353">
          <cell r="C1353">
            <v>45461</v>
          </cell>
        </row>
        <row r="1354">
          <cell r="C1354">
            <v>45462</v>
          </cell>
        </row>
        <row r="1355">
          <cell r="C1355">
            <v>45463</v>
          </cell>
        </row>
        <row r="1356">
          <cell r="C1356">
            <v>45464</v>
          </cell>
        </row>
        <row r="1357">
          <cell r="C1357">
            <v>45465</v>
          </cell>
        </row>
        <row r="1358">
          <cell r="C1358">
            <v>45466</v>
          </cell>
        </row>
        <row r="1359">
          <cell r="C1359">
            <v>45467</v>
          </cell>
        </row>
        <row r="1360">
          <cell r="C1360">
            <v>45468</v>
          </cell>
        </row>
        <row r="1361">
          <cell r="C1361">
            <v>45469</v>
          </cell>
        </row>
        <row r="1362">
          <cell r="C1362">
            <v>45470</v>
          </cell>
        </row>
        <row r="1363">
          <cell r="C1363">
            <v>45471</v>
          </cell>
        </row>
        <row r="1364">
          <cell r="C1364">
            <v>45472</v>
          </cell>
        </row>
        <row r="1365">
          <cell r="C1365">
            <v>45473</v>
          </cell>
        </row>
        <row r="1366">
          <cell r="C1366">
            <v>45474</v>
          </cell>
        </row>
        <row r="1367">
          <cell r="C1367">
            <v>45475</v>
          </cell>
        </row>
        <row r="1368">
          <cell r="C1368">
            <v>45476</v>
          </cell>
        </row>
        <row r="1369">
          <cell r="C1369">
            <v>45477</v>
          </cell>
        </row>
        <row r="1370">
          <cell r="C1370">
            <v>45478</v>
          </cell>
        </row>
        <row r="1371">
          <cell r="C1371">
            <v>45479</v>
          </cell>
        </row>
        <row r="1372">
          <cell r="C1372">
            <v>45480</v>
          </cell>
        </row>
        <row r="1373">
          <cell r="C1373">
            <v>45481</v>
          </cell>
        </row>
        <row r="1374">
          <cell r="C1374">
            <v>45482</v>
          </cell>
        </row>
        <row r="1375">
          <cell r="C1375">
            <v>45483</v>
          </cell>
        </row>
        <row r="1376">
          <cell r="C1376">
            <v>45484</v>
          </cell>
        </row>
        <row r="1377">
          <cell r="C1377">
            <v>45485</v>
          </cell>
        </row>
        <row r="1378">
          <cell r="C1378">
            <v>45486</v>
          </cell>
        </row>
        <row r="1379">
          <cell r="C1379">
            <v>45487</v>
          </cell>
        </row>
        <row r="1380">
          <cell r="C1380">
            <v>45488</v>
          </cell>
        </row>
        <row r="1381">
          <cell r="C1381">
            <v>45489</v>
          </cell>
        </row>
        <row r="1382">
          <cell r="C1382">
            <v>45490</v>
          </cell>
        </row>
        <row r="1383">
          <cell r="C1383">
            <v>45491</v>
          </cell>
        </row>
        <row r="1384">
          <cell r="C1384">
            <v>45492</v>
          </cell>
        </row>
        <row r="1385">
          <cell r="C1385">
            <v>45493</v>
          </cell>
        </row>
        <row r="1386">
          <cell r="C1386">
            <v>45494</v>
          </cell>
        </row>
        <row r="1387">
          <cell r="C1387">
            <v>45495</v>
          </cell>
        </row>
        <row r="1388">
          <cell r="C1388">
            <v>45496</v>
          </cell>
        </row>
        <row r="1389">
          <cell r="C1389">
            <v>45497</v>
          </cell>
        </row>
        <row r="1390">
          <cell r="C1390">
            <v>45498</v>
          </cell>
        </row>
        <row r="1391">
          <cell r="C1391">
            <v>45499</v>
          </cell>
        </row>
        <row r="1392">
          <cell r="C1392">
            <v>45500</v>
          </cell>
        </row>
        <row r="1393">
          <cell r="C1393">
            <v>45501</v>
          </cell>
        </row>
        <row r="1394">
          <cell r="C1394">
            <v>45502</v>
          </cell>
        </row>
        <row r="1395">
          <cell r="C1395">
            <v>45503</v>
          </cell>
        </row>
        <row r="1396">
          <cell r="C1396">
            <v>45504</v>
          </cell>
        </row>
        <row r="1397">
          <cell r="C1397">
            <v>45505</v>
          </cell>
        </row>
        <row r="1398">
          <cell r="C1398">
            <v>45506</v>
          </cell>
        </row>
        <row r="1399">
          <cell r="C1399">
            <v>45507</v>
          </cell>
        </row>
        <row r="1400">
          <cell r="C1400">
            <v>45508</v>
          </cell>
        </row>
        <row r="1401">
          <cell r="C1401">
            <v>45509</v>
          </cell>
        </row>
        <row r="1402">
          <cell r="C1402">
            <v>45510</v>
          </cell>
        </row>
        <row r="1403">
          <cell r="C1403">
            <v>45511</v>
          </cell>
        </row>
        <row r="1404">
          <cell r="C1404">
            <v>45512</v>
          </cell>
        </row>
        <row r="1405">
          <cell r="C1405">
            <v>45513</v>
          </cell>
        </row>
        <row r="1406">
          <cell r="C1406">
            <v>45514</v>
          </cell>
        </row>
        <row r="1407">
          <cell r="C1407">
            <v>45515</v>
          </cell>
        </row>
        <row r="1408">
          <cell r="C1408">
            <v>45516</v>
          </cell>
        </row>
        <row r="1409">
          <cell r="C1409">
            <v>45517</v>
          </cell>
        </row>
        <row r="1410">
          <cell r="C1410">
            <v>45518</v>
          </cell>
        </row>
        <row r="1411">
          <cell r="C1411">
            <v>45519</v>
          </cell>
        </row>
        <row r="1412">
          <cell r="C1412">
            <v>45520</v>
          </cell>
        </row>
        <row r="1413">
          <cell r="C1413">
            <v>45521</v>
          </cell>
        </row>
        <row r="1414">
          <cell r="C1414">
            <v>45522</v>
          </cell>
        </row>
        <row r="1415">
          <cell r="C1415">
            <v>45523</v>
          </cell>
        </row>
        <row r="1416">
          <cell r="C1416">
            <v>45524</v>
          </cell>
        </row>
        <row r="1417">
          <cell r="C1417">
            <v>45525</v>
          </cell>
        </row>
        <row r="1418">
          <cell r="C1418">
            <v>45526</v>
          </cell>
        </row>
        <row r="1419">
          <cell r="C1419">
            <v>45527</v>
          </cell>
        </row>
        <row r="1420">
          <cell r="C1420">
            <v>45528</v>
          </cell>
        </row>
        <row r="1421">
          <cell r="C1421">
            <v>45529</v>
          </cell>
        </row>
        <row r="1422">
          <cell r="C1422">
            <v>45530</v>
          </cell>
        </row>
        <row r="1423">
          <cell r="C1423">
            <v>45531</v>
          </cell>
        </row>
        <row r="1424">
          <cell r="C1424">
            <v>45532</v>
          </cell>
        </row>
        <row r="1425">
          <cell r="C1425">
            <v>45533</v>
          </cell>
        </row>
        <row r="1426">
          <cell r="C1426">
            <v>45534</v>
          </cell>
        </row>
        <row r="1427">
          <cell r="C1427">
            <v>45535</v>
          </cell>
        </row>
        <row r="1428">
          <cell r="C1428">
            <v>45536</v>
          </cell>
        </row>
        <row r="1429">
          <cell r="C1429">
            <v>45537</v>
          </cell>
        </row>
        <row r="1430">
          <cell r="C1430">
            <v>45538</v>
          </cell>
        </row>
        <row r="1431">
          <cell r="C1431">
            <v>45539</v>
          </cell>
        </row>
        <row r="1432">
          <cell r="C1432">
            <v>45540</v>
          </cell>
        </row>
        <row r="1433">
          <cell r="C1433">
            <v>45541</v>
          </cell>
        </row>
        <row r="1434">
          <cell r="C1434">
            <v>45542</v>
          </cell>
        </row>
        <row r="1435">
          <cell r="C1435">
            <v>45543</v>
          </cell>
        </row>
        <row r="1436">
          <cell r="C1436">
            <v>45544</v>
          </cell>
        </row>
        <row r="1437">
          <cell r="C1437">
            <v>45545</v>
          </cell>
        </row>
        <row r="1438">
          <cell r="C1438">
            <v>45546</v>
          </cell>
        </row>
        <row r="1439">
          <cell r="C1439">
            <v>45547</v>
          </cell>
        </row>
        <row r="1440">
          <cell r="C1440">
            <v>45548</v>
          </cell>
        </row>
        <row r="1441">
          <cell r="C1441">
            <v>45549</v>
          </cell>
        </row>
        <row r="1442">
          <cell r="C1442">
            <v>45550</v>
          </cell>
        </row>
        <row r="1443">
          <cell r="C1443">
            <v>45551</v>
          </cell>
        </row>
        <row r="1444">
          <cell r="C1444">
            <v>45552</v>
          </cell>
        </row>
        <row r="1445">
          <cell r="C1445">
            <v>45553</v>
          </cell>
        </row>
        <row r="1446">
          <cell r="C1446">
            <v>45554</v>
          </cell>
        </row>
        <row r="1447">
          <cell r="C1447">
            <v>45555</v>
          </cell>
        </row>
        <row r="1448">
          <cell r="C1448">
            <v>45556</v>
          </cell>
        </row>
        <row r="1449">
          <cell r="C1449">
            <v>45557</v>
          </cell>
        </row>
        <row r="1450">
          <cell r="C1450">
            <v>45558</v>
          </cell>
        </row>
        <row r="1451">
          <cell r="C1451">
            <v>45559</v>
          </cell>
        </row>
        <row r="1452">
          <cell r="C1452">
            <v>45560</v>
          </cell>
        </row>
        <row r="1453">
          <cell r="C1453">
            <v>45561</v>
          </cell>
        </row>
        <row r="1454">
          <cell r="C1454">
            <v>45562</v>
          </cell>
        </row>
        <row r="1455">
          <cell r="C1455">
            <v>45563</v>
          </cell>
        </row>
        <row r="1456">
          <cell r="C1456">
            <v>45564</v>
          </cell>
        </row>
        <row r="1457">
          <cell r="C1457">
            <v>45565</v>
          </cell>
        </row>
        <row r="1458">
          <cell r="C1458">
            <v>45566</v>
          </cell>
        </row>
        <row r="1459">
          <cell r="C1459">
            <v>45567</v>
          </cell>
        </row>
        <row r="1460">
          <cell r="C1460">
            <v>45568</v>
          </cell>
        </row>
        <row r="1461">
          <cell r="C1461">
            <v>45569</v>
          </cell>
        </row>
        <row r="1462">
          <cell r="C1462">
            <v>45570</v>
          </cell>
        </row>
        <row r="1463">
          <cell r="C1463">
            <v>45571</v>
          </cell>
        </row>
        <row r="1464">
          <cell r="C1464">
            <v>45572</v>
          </cell>
        </row>
        <row r="1465">
          <cell r="C1465">
            <v>45573</v>
          </cell>
        </row>
        <row r="1466">
          <cell r="C1466">
            <v>45574</v>
          </cell>
        </row>
        <row r="1467">
          <cell r="C1467">
            <v>45575</v>
          </cell>
        </row>
        <row r="1468">
          <cell r="C1468">
            <v>45576</v>
          </cell>
        </row>
        <row r="1469">
          <cell r="C1469">
            <v>45577</v>
          </cell>
        </row>
        <row r="1470">
          <cell r="C1470">
            <v>45578</v>
          </cell>
        </row>
        <row r="1471">
          <cell r="C1471">
            <v>45579</v>
          </cell>
        </row>
        <row r="1472">
          <cell r="C1472">
            <v>45580</v>
          </cell>
        </row>
        <row r="1473">
          <cell r="C1473">
            <v>45581</v>
          </cell>
        </row>
        <row r="1474">
          <cell r="C1474">
            <v>45582</v>
          </cell>
        </row>
        <row r="1475">
          <cell r="C1475">
            <v>45583</v>
          </cell>
        </row>
        <row r="1476">
          <cell r="C1476">
            <v>45584</v>
          </cell>
        </row>
        <row r="1477">
          <cell r="C1477">
            <v>45585</v>
          </cell>
        </row>
        <row r="1478">
          <cell r="C1478">
            <v>45586</v>
          </cell>
        </row>
        <row r="1479">
          <cell r="C1479">
            <v>45587</v>
          </cell>
        </row>
        <row r="1480">
          <cell r="C1480">
            <v>45588</v>
          </cell>
        </row>
        <row r="1481">
          <cell r="C1481">
            <v>45589</v>
          </cell>
        </row>
        <row r="1482">
          <cell r="C1482">
            <v>45590</v>
          </cell>
        </row>
        <row r="1483">
          <cell r="C1483">
            <v>45591</v>
          </cell>
        </row>
        <row r="1484">
          <cell r="C1484">
            <v>45592</v>
          </cell>
        </row>
        <row r="1485">
          <cell r="C1485">
            <v>45593</v>
          </cell>
        </row>
        <row r="1486">
          <cell r="C1486">
            <v>45594</v>
          </cell>
        </row>
        <row r="1487">
          <cell r="C1487">
            <v>45595</v>
          </cell>
        </row>
        <row r="1488">
          <cell r="C1488">
            <v>45596</v>
          </cell>
        </row>
        <row r="1489">
          <cell r="C1489">
            <v>45597</v>
          </cell>
        </row>
        <row r="1490">
          <cell r="C1490">
            <v>45598</v>
          </cell>
        </row>
        <row r="1491">
          <cell r="C1491">
            <v>45599</v>
          </cell>
        </row>
        <row r="1492">
          <cell r="C1492">
            <v>45600</v>
          </cell>
        </row>
        <row r="1493">
          <cell r="C1493">
            <v>45601</v>
          </cell>
        </row>
        <row r="1494">
          <cell r="C1494">
            <v>45602</v>
          </cell>
        </row>
        <row r="1495">
          <cell r="C1495">
            <v>45603</v>
          </cell>
        </row>
        <row r="1496">
          <cell r="C1496">
            <v>45604</v>
          </cell>
        </row>
        <row r="1497">
          <cell r="C1497">
            <v>45605</v>
          </cell>
        </row>
        <row r="1498">
          <cell r="C1498">
            <v>45606</v>
          </cell>
        </row>
        <row r="1499">
          <cell r="C1499">
            <v>45607</v>
          </cell>
        </row>
        <row r="1500">
          <cell r="C1500">
            <v>45608</v>
          </cell>
        </row>
        <row r="1501">
          <cell r="C1501">
            <v>45609</v>
          </cell>
        </row>
        <row r="1502">
          <cell r="C1502">
            <v>45610</v>
          </cell>
        </row>
        <row r="1503">
          <cell r="C1503">
            <v>45611</v>
          </cell>
        </row>
        <row r="1504">
          <cell r="C1504">
            <v>45612</v>
          </cell>
        </row>
        <row r="1505">
          <cell r="C1505">
            <v>45613</v>
          </cell>
        </row>
        <row r="1506">
          <cell r="C1506">
            <v>45614</v>
          </cell>
        </row>
        <row r="1507">
          <cell r="C1507">
            <v>45615</v>
          </cell>
        </row>
        <row r="1508">
          <cell r="C1508">
            <v>45616</v>
          </cell>
        </row>
        <row r="1509">
          <cell r="C1509">
            <v>45617</v>
          </cell>
        </row>
        <row r="1510">
          <cell r="C1510">
            <v>45618</v>
          </cell>
        </row>
        <row r="1511">
          <cell r="C1511">
            <v>45619</v>
          </cell>
        </row>
        <row r="1512">
          <cell r="C1512">
            <v>45620</v>
          </cell>
        </row>
        <row r="1513">
          <cell r="C1513">
            <v>45621</v>
          </cell>
        </row>
        <row r="1514">
          <cell r="C1514">
            <v>45622</v>
          </cell>
        </row>
        <row r="1515">
          <cell r="C1515">
            <v>45623</v>
          </cell>
        </row>
        <row r="1516">
          <cell r="C1516">
            <v>45624</v>
          </cell>
        </row>
        <row r="1517">
          <cell r="C1517">
            <v>45625</v>
          </cell>
        </row>
        <row r="1518">
          <cell r="C1518">
            <v>45626</v>
          </cell>
        </row>
        <row r="1519">
          <cell r="C1519">
            <v>45627</v>
          </cell>
        </row>
        <row r="1520">
          <cell r="C1520">
            <v>45628</v>
          </cell>
        </row>
        <row r="1521">
          <cell r="C1521">
            <v>45629</v>
          </cell>
        </row>
        <row r="1522">
          <cell r="C1522">
            <v>45630</v>
          </cell>
        </row>
        <row r="1523">
          <cell r="C1523">
            <v>45631</v>
          </cell>
        </row>
        <row r="1524">
          <cell r="C1524">
            <v>45632</v>
          </cell>
        </row>
        <row r="1525">
          <cell r="C1525">
            <v>45633</v>
          </cell>
        </row>
        <row r="1526">
          <cell r="C1526">
            <v>45634</v>
          </cell>
        </row>
        <row r="1527">
          <cell r="C1527">
            <v>45635</v>
          </cell>
        </row>
        <row r="1528">
          <cell r="C1528">
            <v>45636</v>
          </cell>
        </row>
        <row r="1529">
          <cell r="C1529">
            <v>45637</v>
          </cell>
        </row>
        <row r="1530">
          <cell r="C1530">
            <v>45638</v>
          </cell>
        </row>
        <row r="1531">
          <cell r="C1531">
            <v>45639</v>
          </cell>
        </row>
        <row r="1532">
          <cell r="C1532">
            <v>45640</v>
          </cell>
        </row>
        <row r="1533">
          <cell r="C1533">
            <v>45641</v>
          </cell>
        </row>
        <row r="1534">
          <cell r="C1534">
            <v>45642</v>
          </cell>
        </row>
        <row r="1535">
          <cell r="C1535">
            <v>45643</v>
          </cell>
        </row>
        <row r="1536">
          <cell r="C1536">
            <v>45644</v>
          </cell>
        </row>
        <row r="1537">
          <cell r="C1537">
            <v>45645</v>
          </cell>
        </row>
        <row r="1538">
          <cell r="C1538">
            <v>45646</v>
          </cell>
        </row>
        <row r="1539">
          <cell r="C1539">
            <v>45647</v>
          </cell>
        </row>
        <row r="1540">
          <cell r="C1540">
            <v>45648</v>
          </cell>
        </row>
        <row r="1541">
          <cell r="C1541">
            <v>45649</v>
          </cell>
        </row>
        <row r="1542">
          <cell r="C1542">
            <v>45650</v>
          </cell>
        </row>
        <row r="1543">
          <cell r="C1543">
            <v>45651</v>
          </cell>
        </row>
        <row r="1544">
          <cell r="C1544">
            <v>45652</v>
          </cell>
        </row>
        <row r="1545">
          <cell r="C1545">
            <v>45653</v>
          </cell>
        </row>
        <row r="1546">
          <cell r="C1546">
            <v>45654</v>
          </cell>
        </row>
        <row r="1547">
          <cell r="C1547">
            <v>45655</v>
          </cell>
        </row>
        <row r="1548">
          <cell r="C1548">
            <v>45656</v>
          </cell>
        </row>
        <row r="1549">
          <cell r="C1549">
            <v>45657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선형그래프"/>
      <sheetName val="graph"/>
      <sheetName val="b_line"/>
      <sheetName val="b_stick"/>
      <sheetName val="d_gra"/>
      <sheetName val="일자별요약"/>
      <sheetName val="별첨_전시별,주차별"/>
      <sheetName val="주차별보고"/>
      <sheetName val="dashboard"/>
      <sheetName val="일자별요약v2"/>
      <sheetName val="STRD"/>
      <sheetName val="str기초"/>
      <sheetName val="mm"/>
      <sheetName val="일자별"/>
      <sheetName val="주차별보고v2"/>
      <sheetName val="graph_사진"/>
      <sheetName val="일자별요약 (얼리포함)"/>
      <sheetName val="평균관람객"/>
      <sheetName val="얼리버드"/>
      <sheetName val="브랜드팀"/>
      <sheetName val="요약, 유무료"/>
      <sheetName val="요약"/>
      <sheetName val="1주차대비증감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376">
          <cell r="E1376">
            <v>923</v>
          </cell>
          <cell r="F1376" t="str">
            <v>아샴</v>
          </cell>
          <cell r="G1376">
            <v>56</v>
          </cell>
          <cell r="H1376">
            <v>867</v>
          </cell>
          <cell r="I1376">
            <v>1</v>
          </cell>
          <cell r="Q1376">
            <v>11</v>
          </cell>
          <cell r="R1376">
            <v>653</v>
          </cell>
          <cell r="S1376">
            <v>664</v>
          </cell>
        </row>
        <row r="1377">
          <cell r="E1377">
            <v>735</v>
          </cell>
          <cell r="F1377" t="str">
            <v>아샴</v>
          </cell>
          <cell r="G1377">
            <v>29</v>
          </cell>
          <cell r="H1377">
            <v>706</v>
          </cell>
          <cell r="I1377">
            <v>2</v>
          </cell>
          <cell r="Q1377">
            <v>15</v>
          </cell>
          <cell r="R1377">
            <v>437</v>
          </cell>
          <cell r="S1377">
            <v>452</v>
          </cell>
        </row>
        <row r="1378">
          <cell r="E1378">
            <v>725</v>
          </cell>
          <cell r="F1378" t="str">
            <v>아샴</v>
          </cell>
          <cell r="G1378">
            <v>31</v>
          </cell>
          <cell r="H1378">
            <v>694</v>
          </cell>
          <cell r="I1378">
            <v>3</v>
          </cell>
          <cell r="Q1378">
            <v>11</v>
          </cell>
          <cell r="R1378">
            <v>398</v>
          </cell>
          <cell r="S1378">
            <v>409</v>
          </cell>
        </row>
        <row r="1379">
          <cell r="E1379">
            <v>353</v>
          </cell>
          <cell r="F1379" t="str">
            <v>아샴</v>
          </cell>
          <cell r="G1379">
            <v>54</v>
          </cell>
          <cell r="H1379">
            <v>299</v>
          </cell>
          <cell r="I1379">
            <v>4</v>
          </cell>
          <cell r="Q1379">
            <v>6</v>
          </cell>
          <cell r="R1379">
            <v>158</v>
          </cell>
          <cell r="S1379">
            <v>164</v>
          </cell>
        </row>
        <row r="1380">
          <cell r="E1380">
            <v>256</v>
          </cell>
          <cell r="F1380" t="str">
            <v>아샴</v>
          </cell>
          <cell r="G1380">
            <v>18</v>
          </cell>
          <cell r="H1380">
            <v>238</v>
          </cell>
          <cell r="I1380">
            <v>5</v>
          </cell>
          <cell r="Q1380">
            <v>4</v>
          </cell>
          <cell r="R1380">
            <v>119</v>
          </cell>
          <cell r="S1380">
            <v>123</v>
          </cell>
        </row>
        <row r="1381">
          <cell r="E1381">
            <v>256</v>
          </cell>
          <cell r="F1381" t="str">
            <v>아샴</v>
          </cell>
          <cell r="G1381">
            <v>9</v>
          </cell>
          <cell r="H1381">
            <v>247</v>
          </cell>
          <cell r="I1381">
            <v>6</v>
          </cell>
          <cell r="Q1381">
            <v>5</v>
          </cell>
          <cell r="R1381">
            <v>103</v>
          </cell>
          <cell r="S1381">
            <v>108</v>
          </cell>
        </row>
        <row r="1382">
          <cell r="E1382">
            <v>232</v>
          </cell>
          <cell r="F1382" t="str">
            <v>아샴</v>
          </cell>
          <cell r="G1382">
            <v>15</v>
          </cell>
          <cell r="H1382">
            <v>217</v>
          </cell>
          <cell r="I1382">
            <v>7</v>
          </cell>
          <cell r="Q1382">
            <v>8</v>
          </cell>
          <cell r="R1382">
            <v>79</v>
          </cell>
          <cell r="S1382">
            <v>87</v>
          </cell>
        </row>
        <row r="1383">
          <cell r="E1383">
            <v>373</v>
          </cell>
          <cell r="F1383" t="str">
            <v>아샴</v>
          </cell>
          <cell r="G1383">
            <v>15</v>
          </cell>
          <cell r="H1383">
            <v>358</v>
          </cell>
          <cell r="I1383">
            <v>8</v>
          </cell>
          <cell r="Q1383">
            <v>9</v>
          </cell>
          <cell r="R1383">
            <v>142</v>
          </cell>
          <cell r="S1383">
            <v>151</v>
          </cell>
        </row>
        <row r="1384">
          <cell r="E1384">
            <v>802</v>
          </cell>
          <cell r="F1384" t="str">
            <v>아샴</v>
          </cell>
          <cell r="G1384">
            <v>37</v>
          </cell>
          <cell r="H1384">
            <v>765</v>
          </cell>
          <cell r="I1384">
            <v>9</v>
          </cell>
          <cell r="Q1384">
            <v>4</v>
          </cell>
          <cell r="R1384">
            <v>341</v>
          </cell>
          <cell r="S1384">
            <v>345</v>
          </cell>
        </row>
        <row r="1385">
          <cell r="E1385">
            <v>729</v>
          </cell>
          <cell r="F1385" t="str">
            <v>아샴</v>
          </cell>
          <cell r="G1385">
            <v>47</v>
          </cell>
          <cell r="H1385">
            <v>682</v>
          </cell>
          <cell r="I1385">
            <v>10</v>
          </cell>
          <cell r="Q1385">
            <v>3</v>
          </cell>
          <cell r="R1385">
            <v>338</v>
          </cell>
          <cell r="S1385">
            <v>341</v>
          </cell>
        </row>
        <row r="1386">
          <cell r="E1386">
            <v>238</v>
          </cell>
          <cell r="F1386" t="str">
            <v>아샴</v>
          </cell>
          <cell r="G1386">
            <v>25</v>
          </cell>
          <cell r="H1386">
            <v>213</v>
          </cell>
          <cell r="I1386">
            <v>11</v>
          </cell>
          <cell r="Q1386">
            <v>5</v>
          </cell>
          <cell r="R1386">
            <v>89</v>
          </cell>
          <cell r="S1386">
            <v>94</v>
          </cell>
        </row>
        <row r="1387">
          <cell r="E1387">
            <v>309</v>
          </cell>
          <cell r="F1387" t="str">
            <v>아샴</v>
          </cell>
          <cell r="G1387">
            <v>19</v>
          </cell>
          <cell r="H1387">
            <v>290</v>
          </cell>
          <cell r="I1387">
            <v>12</v>
          </cell>
          <cell r="Q1387">
            <v>4</v>
          </cell>
          <cell r="R1387">
            <v>97</v>
          </cell>
          <cell r="S1387">
            <v>101</v>
          </cell>
        </row>
        <row r="1388">
          <cell r="E1388">
            <v>279</v>
          </cell>
          <cell r="F1388" t="str">
            <v>아샴</v>
          </cell>
          <cell r="G1388">
            <v>42</v>
          </cell>
          <cell r="H1388">
            <v>237</v>
          </cell>
          <cell r="I1388">
            <v>13</v>
          </cell>
          <cell r="R1388">
            <v>83</v>
          </cell>
          <cell r="S1388">
            <v>83</v>
          </cell>
        </row>
        <row r="1389">
          <cell r="E1389">
            <v>312</v>
          </cell>
          <cell r="F1389" t="str">
            <v>아샴</v>
          </cell>
          <cell r="G1389">
            <v>41</v>
          </cell>
          <cell r="H1389">
            <v>271</v>
          </cell>
          <cell r="I1389">
            <v>14</v>
          </cell>
          <cell r="Q1389">
            <v>2</v>
          </cell>
          <cell r="R1389">
            <v>70</v>
          </cell>
          <cell r="S1389">
            <v>72</v>
          </cell>
        </row>
        <row r="1390">
          <cell r="E1390">
            <v>397</v>
          </cell>
          <cell r="F1390" t="str">
            <v>아샴</v>
          </cell>
          <cell r="G1390">
            <v>22</v>
          </cell>
          <cell r="H1390">
            <v>375</v>
          </cell>
          <cell r="I1390">
            <v>15</v>
          </cell>
          <cell r="Q1390">
            <v>2</v>
          </cell>
          <cell r="R1390">
            <v>133</v>
          </cell>
          <cell r="S1390">
            <v>135</v>
          </cell>
        </row>
        <row r="1391">
          <cell r="E1391">
            <v>676</v>
          </cell>
          <cell r="F1391" t="str">
            <v>아샴</v>
          </cell>
          <cell r="G1391">
            <v>45</v>
          </cell>
          <cell r="H1391">
            <v>631</v>
          </cell>
          <cell r="I1391">
            <v>16</v>
          </cell>
          <cell r="Q1391">
            <v>5</v>
          </cell>
          <cell r="R1391">
            <v>277</v>
          </cell>
          <cell r="S1391">
            <v>282</v>
          </cell>
        </row>
        <row r="1392">
          <cell r="E1392">
            <v>635</v>
          </cell>
          <cell r="F1392" t="str">
            <v>아샴</v>
          </cell>
          <cell r="G1392">
            <v>28</v>
          </cell>
          <cell r="H1392">
            <v>607</v>
          </cell>
          <cell r="I1392">
            <v>17</v>
          </cell>
          <cell r="Q1392">
            <v>2</v>
          </cell>
          <cell r="R1392">
            <v>269</v>
          </cell>
          <cell r="S1392">
            <v>271</v>
          </cell>
        </row>
        <row r="1393">
          <cell r="E1393">
            <v>305</v>
          </cell>
          <cell r="F1393" t="str">
            <v>아샴</v>
          </cell>
          <cell r="G1393">
            <v>28</v>
          </cell>
          <cell r="H1393">
            <v>277</v>
          </cell>
          <cell r="I1393">
            <v>18</v>
          </cell>
          <cell r="Q1393">
            <v>0</v>
          </cell>
          <cell r="R1393">
            <v>85</v>
          </cell>
          <cell r="S1393">
            <v>85</v>
          </cell>
        </row>
        <row r="1394">
          <cell r="E1394">
            <v>375</v>
          </cell>
          <cell r="F1394" t="str">
            <v>아샴</v>
          </cell>
          <cell r="G1394">
            <v>18</v>
          </cell>
          <cell r="H1394">
            <v>357</v>
          </cell>
          <cell r="I1394">
            <v>19</v>
          </cell>
          <cell r="Q1394">
            <v>6</v>
          </cell>
          <cell r="R1394">
            <v>112</v>
          </cell>
          <cell r="S1394">
            <v>118</v>
          </cell>
        </row>
        <row r="1395">
          <cell r="E1395">
            <v>467</v>
          </cell>
          <cell r="F1395" t="str">
            <v>아샴</v>
          </cell>
          <cell r="G1395">
            <v>16</v>
          </cell>
          <cell r="H1395">
            <v>451</v>
          </cell>
          <cell r="I1395">
            <v>20</v>
          </cell>
          <cell r="Q1395">
            <v>8</v>
          </cell>
          <cell r="R1395">
            <v>118</v>
          </cell>
          <cell r="S1395">
            <v>126</v>
          </cell>
        </row>
        <row r="1396">
          <cell r="E1396">
            <v>366</v>
          </cell>
          <cell r="F1396" t="str">
            <v>아샴</v>
          </cell>
          <cell r="G1396">
            <v>23</v>
          </cell>
          <cell r="H1396">
            <v>343</v>
          </cell>
          <cell r="I1396">
            <v>21</v>
          </cell>
          <cell r="Q1396">
            <v>1</v>
          </cell>
          <cell r="R1396">
            <v>88</v>
          </cell>
          <cell r="S1396">
            <v>89</v>
          </cell>
        </row>
        <row r="1397">
          <cell r="E1397">
            <v>477</v>
          </cell>
          <cell r="F1397" t="str">
            <v>아샴</v>
          </cell>
          <cell r="G1397">
            <v>42</v>
          </cell>
          <cell r="H1397">
            <v>435</v>
          </cell>
          <cell r="I1397">
            <v>22</v>
          </cell>
          <cell r="Q1397">
            <v>9</v>
          </cell>
          <cell r="R1397">
            <v>155</v>
          </cell>
          <cell r="S1397">
            <v>164</v>
          </cell>
        </row>
        <row r="1398">
          <cell r="E1398">
            <v>767</v>
          </cell>
          <cell r="F1398" t="str">
            <v>아샴</v>
          </cell>
          <cell r="G1398">
            <v>43</v>
          </cell>
          <cell r="H1398">
            <v>724</v>
          </cell>
          <cell r="I1398">
            <v>23</v>
          </cell>
          <cell r="Q1398">
            <v>10</v>
          </cell>
          <cell r="R1398">
            <v>332</v>
          </cell>
          <cell r="S1398">
            <v>342</v>
          </cell>
        </row>
        <row r="1399">
          <cell r="E1399">
            <v>703</v>
          </cell>
          <cell r="F1399" t="str">
            <v>아샴</v>
          </cell>
          <cell r="G1399">
            <v>32</v>
          </cell>
          <cell r="H1399">
            <v>671</v>
          </cell>
          <cell r="I1399">
            <v>24</v>
          </cell>
          <cell r="Q1399">
            <v>9</v>
          </cell>
          <cell r="R1399">
            <v>248</v>
          </cell>
          <cell r="S1399">
            <v>257</v>
          </cell>
        </row>
        <row r="1400">
          <cell r="E1400">
            <v>342</v>
          </cell>
          <cell r="F1400" t="str">
            <v>아샴</v>
          </cell>
          <cell r="G1400">
            <v>18</v>
          </cell>
          <cell r="H1400">
            <v>324</v>
          </cell>
          <cell r="I1400">
            <v>25</v>
          </cell>
          <cell r="Q1400">
            <v>3</v>
          </cell>
          <cell r="R1400">
            <v>110</v>
          </cell>
          <cell r="S1400">
            <v>113</v>
          </cell>
        </row>
        <row r="1401">
          <cell r="E1401">
            <v>338</v>
          </cell>
          <cell r="F1401" t="str">
            <v>아샴</v>
          </cell>
          <cell r="G1401">
            <v>20</v>
          </cell>
          <cell r="H1401">
            <v>318</v>
          </cell>
          <cell r="I1401">
            <v>26</v>
          </cell>
          <cell r="Q1401">
            <v>3</v>
          </cell>
          <cell r="R1401">
            <v>139</v>
          </cell>
          <cell r="S1401">
            <v>142</v>
          </cell>
        </row>
        <row r="1402">
          <cell r="E1402">
            <v>340</v>
          </cell>
          <cell r="F1402" t="str">
            <v>아샴</v>
          </cell>
          <cell r="G1402">
            <v>13</v>
          </cell>
          <cell r="H1402">
            <v>327</v>
          </cell>
          <cell r="I1402">
            <v>27</v>
          </cell>
          <cell r="Q1402">
            <v>1</v>
          </cell>
          <cell r="R1402">
            <v>132</v>
          </cell>
          <cell r="S1402">
            <v>133</v>
          </cell>
        </row>
        <row r="1403">
          <cell r="E1403">
            <v>381</v>
          </cell>
          <cell r="F1403" t="str">
            <v>아샴</v>
          </cell>
          <cell r="G1403">
            <v>24</v>
          </cell>
          <cell r="H1403">
            <v>357</v>
          </cell>
          <cell r="I1403">
            <v>28</v>
          </cell>
          <cell r="Q1403">
            <v>0</v>
          </cell>
          <cell r="R1403">
            <v>121</v>
          </cell>
          <cell r="S1403">
            <v>121</v>
          </cell>
        </row>
        <row r="1404">
          <cell r="E1404">
            <v>444</v>
          </cell>
          <cell r="F1404" t="str">
            <v>아샴</v>
          </cell>
          <cell r="G1404">
            <v>40</v>
          </cell>
          <cell r="H1404">
            <v>404</v>
          </cell>
          <cell r="I1404">
            <v>29</v>
          </cell>
          <cell r="Q1404">
            <v>2</v>
          </cell>
          <cell r="R1404">
            <v>164</v>
          </cell>
          <cell r="S1404">
            <v>166</v>
          </cell>
        </row>
        <row r="1405">
          <cell r="E1405">
            <v>970</v>
          </cell>
          <cell r="F1405" t="str">
            <v>아샴</v>
          </cell>
          <cell r="G1405">
            <v>52</v>
          </cell>
          <cell r="H1405">
            <v>918</v>
          </cell>
          <cell r="I1405">
            <v>30</v>
          </cell>
          <cell r="Q1405">
            <v>4</v>
          </cell>
          <cell r="R1405">
            <v>412</v>
          </cell>
          <cell r="S1405">
            <v>416</v>
          </cell>
        </row>
        <row r="1406">
          <cell r="E1406">
            <v>3015</v>
          </cell>
          <cell r="F1406" t="str">
            <v>아샴</v>
          </cell>
          <cell r="G1406">
            <v>41</v>
          </cell>
          <cell r="H1406">
            <v>2974</v>
          </cell>
          <cell r="I1406">
            <v>31</v>
          </cell>
          <cell r="Q1406">
            <v>5</v>
          </cell>
          <cell r="R1406">
            <v>2496</v>
          </cell>
          <cell r="S1406">
            <v>2501</v>
          </cell>
        </row>
        <row r="1407">
          <cell r="E1407">
            <v>234</v>
          </cell>
          <cell r="F1407" t="str">
            <v>아샴</v>
          </cell>
          <cell r="G1407">
            <v>6</v>
          </cell>
          <cell r="H1407">
            <v>228</v>
          </cell>
          <cell r="I1407">
            <v>32</v>
          </cell>
          <cell r="Q1407">
            <v>3</v>
          </cell>
          <cell r="R1407">
            <v>0</v>
          </cell>
          <cell r="S1407">
            <v>3</v>
          </cell>
        </row>
        <row r="1408">
          <cell r="E1408">
            <v>279</v>
          </cell>
          <cell r="F1408" t="str">
            <v>아샴</v>
          </cell>
          <cell r="G1408">
            <v>28</v>
          </cell>
          <cell r="H1408">
            <v>251</v>
          </cell>
          <cell r="I1408">
            <v>33</v>
          </cell>
          <cell r="Q1408">
            <v>3</v>
          </cell>
          <cell r="R1408">
            <v>0</v>
          </cell>
          <cell r="S1408">
            <v>3</v>
          </cell>
        </row>
        <row r="1409">
          <cell r="E1409">
            <v>266</v>
          </cell>
          <cell r="F1409" t="str">
            <v>아샴</v>
          </cell>
          <cell r="G1409">
            <v>25</v>
          </cell>
          <cell r="H1409">
            <v>241</v>
          </cell>
          <cell r="I1409">
            <v>34</v>
          </cell>
          <cell r="Q1409">
            <v>3</v>
          </cell>
          <cell r="R1409">
            <v>0</v>
          </cell>
          <cell r="S1409">
            <v>3</v>
          </cell>
        </row>
        <row r="1410">
          <cell r="E1410">
            <v>580</v>
          </cell>
          <cell r="F1410" t="str">
            <v>아샴</v>
          </cell>
          <cell r="G1410">
            <v>48</v>
          </cell>
          <cell r="H1410">
            <v>532</v>
          </cell>
          <cell r="I1410">
            <v>35</v>
          </cell>
          <cell r="Q1410">
            <v>5</v>
          </cell>
          <cell r="R1410">
            <v>0</v>
          </cell>
          <cell r="S1410">
            <v>5</v>
          </cell>
        </row>
        <row r="1411">
          <cell r="E1411">
            <v>299</v>
          </cell>
          <cell r="F1411" t="str">
            <v>아샴</v>
          </cell>
          <cell r="G1411">
            <v>22</v>
          </cell>
          <cell r="H1411">
            <v>277</v>
          </cell>
          <cell r="I1411">
            <v>36</v>
          </cell>
          <cell r="Q1411">
            <v>1</v>
          </cell>
          <cell r="R1411">
            <v>0</v>
          </cell>
          <cell r="S1411">
            <v>1</v>
          </cell>
        </row>
        <row r="1412">
          <cell r="E1412">
            <v>531</v>
          </cell>
          <cell r="F1412" t="str">
            <v>아샴</v>
          </cell>
          <cell r="G1412">
            <v>50</v>
          </cell>
          <cell r="H1412">
            <v>481</v>
          </cell>
          <cell r="I1412">
            <v>37</v>
          </cell>
          <cell r="Q1412">
            <v>5</v>
          </cell>
          <cell r="R1412">
            <v>0</v>
          </cell>
          <cell r="S1412">
            <v>5</v>
          </cell>
        </row>
        <row r="1413">
          <cell r="E1413">
            <v>413</v>
          </cell>
          <cell r="F1413" t="str">
            <v>아샴</v>
          </cell>
          <cell r="G1413">
            <v>40</v>
          </cell>
          <cell r="H1413">
            <v>373</v>
          </cell>
          <cell r="I1413">
            <v>38</v>
          </cell>
          <cell r="Q1413">
            <v>5</v>
          </cell>
          <cell r="R1413">
            <v>0</v>
          </cell>
          <cell r="S1413">
            <v>5</v>
          </cell>
        </row>
        <row r="1414">
          <cell r="E1414">
            <v>0</v>
          </cell>
          <cell r="F1414" t="str">
            <v>아샴</v>
          </cell>
          <cell r="H1414">
            <v>0</v>
          </cell>
          <cell r="I1414">
            <v>39</v>
          </cell>
          <cell r="S1414">
            <v>0</v>
          </cell>
        </row>
        <row r="1415">
          <cell r="E1415">
            <v>212</v>
          </cell>
          <cell r="F1415" t="str">
            <v>아샴</v>
          </cell>
          <cell r="G1415">
            <v>21</v>
          </cell>
          <cell r="H1415">
            <v>191</v>
          </cell>
          <cell r="I1415">
            <v>40</v>
          </cell>
          <cell r="Q1415">
            <v>4</v>
          </cell>
          <cell r="R1415">
            <v>0</v>
          </cell>
          <cell r="S1415">
            <v>4</v>
          </cell>
        </row>
        <row r="1416">
          <cell r="E1416">
            <v>203</v>
          </cell>
          <cell r="F1416" t="str">
            <v>아샴</v>
          </cell>
          <cell r="G1416">
            <v>24</v>
          </cell>
          <cell r="H1416">
            <v>179</v>
          </cell>
          <cell r="I1416">
            <v>41</v>
          </cell>
          <cell r="Q1416">
            <v>2</v>
          </cell>
          <cell r="R1416">
            <v>0</v>
          </cell>
          <cell r="S1416">
            <v>2</v>
          </cell>
        </row>
        <row r="1417">
          <cell r="E1417">
            <v>223</v>
          </cell>
          <cell r="F1417" t="str">
            <v>아샴</v>
          </cell>
          <cell r="G1417">
            <v>24</v>
          </cell>
          <cell r="H1417">
            <v>199</v>
          </cell>
          <cell r="I1417">
            <v>42</v>
          </cell>
          <cell r="Q1417">
            <v>2</v>
          </cell>
          <cell r="R1417">
            <v>0</v>
          </cell>
          <cell r="S1417">
            <v>2</v>
          </cell>
        </row>
        <row r="1418">
          <cell r="E1418">
            <v>213</v>
          </cell>
          <cell r="F1418" t="str">
            <v>아샴</v>
          </cell>
          <cell r="G1418">
            <v>11</v>
          </cell>
          <cell r="H1418">
            <v>202</v>
          </cell>
          <cell r="I1418">
            <v>43</v>
          </cell>
          <cell r="Q1418">
            <v>8</v>
          </cell>
          <cell r="R1418">
            <v>0</v>
          </cell>
          <cell r="S1418">
            <v>8</v>
          </cell>
        </row>
        <row r="1419">
          <cell r="E1419">
            <v>527</v>
          </cell>
          <cell r="F1419" t="str">
            <v>아샴</v>
          </cell>
          <cell r="G1419">
            <v>76</v>
          </cell>
          <cell r="H1419">
            <v>451</v>
          </cell>
          <cell r="I1419">
            <v>44</v>
          </cell>
          <cell r="Q1419">
            <v>8</v>
          </cell>
          <cell r="R1419">
            <v>0</v>
          </cell>
          <cell r="S1419">
            <v>8</v>
          </cell>
        </row>
        <row r="1420">
          <cell r="E1420">
            <v>416</v>
          </cell>
          <cell r="F1420" t="str">
            <v>아샴</v>
          </cell>
          <cell r="G1420">
            <v>53</v>
          </cell>
          <cell r="H1420">
            <v>363</v>
          </cell>
          <cell r="I1420">
            <v>45</v>
          </cell>
          <cell r="Q1420">
            <v>2</v>
          </cell>
          <cell r="R1420">
            <v>0</v>
          </cell>
          <cell r="S1420">
            <v>2</v>
          </cell>
        </row>
        <row r="1421">
          <cell r="E1421">
            <v>174</v>
          </cell>
          <cell r="F1421" t="str">
            <v>아샴</v>
          </cell>
          <cell r="G1421">
            <v>16</v>
          </cell>
          <cell r="H1421">
            <v>158</v>
          </cell>
          <cell r="I1421">
            <v>46</v>
          </cell>
          <cell r="Q1421">
            <v>2</v>
          </cell>
          <cell r="R1421">
            <v>0</v>
          </cell>
          <cell r="S1421">
            <v>2</v>
          </cell>
        </row>
        <row r="1422">
          <cell r="E1422">
            <v>159</v>
          </cell>
          <cell r="F1422" t="str">
            <v>아샴</v>
          </cell>
          <cell r="G1422">
            <v>8</v>
          </cell>
          <cell r="H1422">
            <v>151</v>
          </cell>
          <cell r="I1422">
            <v>47</v>
          </cell>
          <cell r="Q1422">
            <v>4</v>
          </cell>
          <cell r="R1422">
            <v>0</v>
          </cell>
          <cell r="S1422">
            <v>4</v>
          </cell>
        </row>
        <row r="1423">
          <cell r="E1423">
            <v>286</v>
          </cell>
          <cell r="F1423" t="str">
            <v>아샴</v>
          </cell>
          <cell r="G1423">
            <v>19</v>
          </cell>
          <cell r="H1423">
            <v>267</v>
          </cell>
          <cell r="I1423">
            <v>48</v>
          </cell>
          <cell r="Q1423">
            <v>2</v>
          </cell>
          <cell r="R1423">
            <v>0</v>
          </cell>
          <cell r="S1423">
            <v>2</v>
          </cell>
        </row>
        <row r="1424">
          <cell r="E1424">
            <v>178</v>
          </cell>
          <cell r="F1424" t="str">
            <v>아샴</v>
          </cell>
          <cell r="G1424">
            <v>25</v>
          </cell>
          <cell r="H1424">
            <v>153</v>
          </cell>
          <cell r="I1424">
            <v>49</v>
          </cell>
          <cell r="Q1424">
            <v>1</v>
          </cell>
          <cell r="R1424">
            <v>0</v>
          </cell>
          <cell r="S1424">
            <v>1</v>
          </cell>
        </row>
        <row r="1425">
          <cell r="E1425">
            <v>287</v>
          </cell>
          <cell r="F1425" t="str">
            <v>아샴</v>
          </cell>
          <cell r="G1425">
            <v>67</v>
          </cell>
          <cell r="H1425">
            <v>220</v>
          </cell>
          <cell r="I1425">
            <v>50</v>
          </cell>
          <cell r="Q1425">
            <v>1</v>
          </cell>
          <cell r="R1425">
            <v>0</v>
          </cell>
          <cell r="S1425">
            <v>1</v>
          </cell>
        </row>
        <row r="1426">
          <cell r="E1426">
            <v>436</v>
          </cell>
          <cell r="F1426" t="str">
            <v>아샴</v>
          </cell>
          <cell r="G1426">
            <v>54</v>
          </cell>
          <cell r="H1426">
            <v>382</v>
          </cell>
          <cell r="I1426">
            <v>51</v>
          </cell>
          <cell r="Q1426">
            <v>5</v>
          </cell>
          <cell r="R1426">
            <v>0</v>
          </cell>
          <cell r="S1426">
            <v>5</v>
          </cell>
        </row>
        <row r="1427">
          <cell r="E1427">
            <v>357</v>
          </cell>
          <cell r="F1427" t="str">
            <v>아샴</v>
          </cell>
          <cell r="G1427">
            <v>37</v>
          </cell>
          <cell r="H1427">
            <v>320</v>
          </cell>
          <cell r="I1427">
            <v>52</v>
          </cell>
          <cell r="Q1427">
            <v>0</v>
          </cell>
          <cell r="R1427">
            <v>0</v>
          </cell>
          <cell r="S1427">
            <v>0</v>
          </cell>
        </row>
        <row r="1428">
          <cell r="E1428">
            <v>135</v>
          </cell>
          <cell r="F1428" t="str">
            <v>아샴</v>
          </cell>
          <cell r="G1428">
            <v>15</v>
          </cell>
          <cell r="H1428">
            <v>120</v>
          </cell>
          <cell r="I1428">
            <v>53</v>
          </cell>
          <cell r="Q1428">
            <v>0</v>
          </cell>
          <cell r="R1428">
            <v>0</v>
          </cell>
          <cell r="S1428">
            <v>0</v>
          </cell>
        </row>
        <row r="1429">
          <cell r="E1429">
            <v>267</v>
          </cell>
          <cell r="F1429" t="str">
            <v>아샴</v>
          </cell>
          <cell r="G1429">
            <v>18</v>
          </cell>
          <cell r="H1429">
            <v>249</v>
          </cell>
          <cell r="I1429">
            <v>54</v>
          </cell>
          <cell r="Q1429">
            <v>1</v>
          </cell>
          <cell r="R1429">
            <v>0</v>
          </cell>
          <cell r="S1429">
            <v>1</v>
          </cell>
        </row>
        <row r="1430">
          <cell r="E1430">
            <v>148</v>
          </cell>
          <cell r="F1430" t="str">
            <v>아샴</v>
          </cell>
          <cell r="G1430">
            <v>11</v>
          </cell>
          <cell r="H1430">
            <v>137</v>
          </cell>
          <cell r="I1430">
            <v>55</v>
          </cell>
          <cell r="Q1430">
            <v>2</v>
          </cell>
          <cell r="R1430">
            <v>0</v>
          </cell>
          <cell r="S1430">
            <v>2</v>
          </cell>
        </row>
        <row r="1431">
          <cell r="E1431">
            <v>182</v>
          </cell>
          <cell r="F1431" t="str">
            <v>아샴</v>
          </cell>
          <cell r="G1431">
            <v>38</v>
          </cell>
          <cell r="H1431">
            <v>144</v>
          </cell>
          <cell r="I1431">
            <v>56</v>
          </cell>
          <cell r="Q1431">
            <v>1</v>
          </cell>
          <cell r="R1431">
            <v>0</v>
          </cell>
          <cell r="S1431">
            <v>1</v>
          </cell>
        </row>
        <row r="1432">
          <cell r="E1432">
            <v>397</v>
          </cell>
          <cell r="F1432" t="str">
            <v>아샴</v>
          </cell>
          <cell r="G1432">
            <v>17</v>
          </cell>
          <cell r="H1432">
            <v>380</v>
          </cell>
          <cell r="I1432">
            <v>57</v>
          </cell>
          <cell r="Q1432">
            <v>1</v>
          </cell>
          <cell r="R1432">
            <v>0</v>
          </cell>
          <cell r="S1432">
            <v>1</v>
          </cell>
        </row>
        <row r="1433">
          <cell r="E1433">
            <v>415</v>
          </cell>
          <cell r="F1433" t="str">
            <v>아샴</v>
          </cell>
          <cell r="G1433">
            <v>71</v>
          </cell>
          <cell r="H1433">
            <v>344</v>
          </cell>
          <cell r="I1433">
            <v>58</v>
          </cell>
          <cell r="Q1433">
            <v>4</v>
          </cell>
          <cell r="R1433">
            <v>0</v>
          </cell>
          <cell r="S1433">
            <v>4</v>
          </cell>
        </row>
        <row r="1434">
          <cell r="E1434">
            <v>362</v>
          </cell>
          <cell r="F1434" t="str">
            <v>아샴</v>
          </cell>
          <cell r="G1434">
            <v>44</v>
          </cell>
          <cell r="H1434">
            <v>318</v>
          </cell>
          <cell r="I1434">
            <v>59</v>
          </cell>
          <cell r="Q1434">
            <v>7</v>
          </cell>
          <cell r="R1434">
            <v>0</v>
          </cell>
          <cell r="S1434">
            <v>7</v>
          </cell>
        </row>
        <row r="1435">
          <cell r="E1435">
            <v>182</v>
          </cell>
          <cell r="F1435" t="str">
            <v>아샴</v>
          </cell>
          <cell r="G1435">
            <v>16</v>
          </cell>
          <cell r="H1435">
            <v>166</v>
          </cell>
          <cell r="I1435">
            <v>60</v>
          </cell>
          <cell r="Q1435">
            <v>3</v>
          </cell>
          <cell r="R1435">
            <v>0</v>
          </cell>
          <cell r="S1435">
            <v>3</v>
          </cell>
        </row>
        <row r="1436">
          <cell r="E1436">
            <v>117</v>
          </cell>
          <cell r="F1436" t="str">
            <v>아샴</v>
          </cell>
          <cell r="G1436">
            <v>13</v>
          </cell>
          <cell r="H1436">
            <v>104</v>
          </cell>
          <cell r="I1436">
            <v>61</v>
          </cell>
          <cell r="Q1436">
            <v>6</v>
          </cell>
          <cell r="R1436">
            <v>0</v>
          </cell>
          <cell r="S1436">
            <v>6</v>
          </cell>
        </row>
        <row r="1437">
          <cell r="E1437">
            <v>247</v>
          </cell>
          <cell r="F1437" t="str">
            <v>아샴</v>
          </cell>
          <cell r="G1437">
            <v>15</v>
          </cell>
          <cell r="H1437">
            <v>232</v>
          </cell>
          <cell r="I1437">
            <v>62</v>
          </cell>
          <cell r="Q1437">
            <v>3</v>
          </cell>
          <cell r="R1437">
            <v>0</v>
          </cell>
          <cell r="S1437">
            <v>3</v>
          </cell>
        </row>
        <row r="1438">
          <cell r="E1438">
            <v>152</v>
          </cell>
          <cell r="F1438" t="str">
            <v>아샴</v>
          </cell>
          <cell r="G1438">
            <v>11</v>
          </cell>
          <cell r="H1438">
            <v>141</v>
          </cell>
          <cell r="I1438">
            <v>63</v>
          </cell>
          <cell r="Q1438">
            <v>4</v>
          </cell>
          <cell r="R1438">
            <v>0</v>
          </cell>
          <cell r="S1438">
            <v>4</v>
          </cell>
        </row>
        <row r="1439">
          <cell r="E1439">
            <v>184</v>
          </cell>
          <cell r="F1439" t="str">
            <v>아샴</v>
          </cell>
          <cell r="G1439">
            <v>24</v>
          </cell>
          <cell r="H1439">
            <v>160</v>
          </cell>
          <cell r="I1439">
            <v>64</v>
          </cell>
          <cell r="Q1439">
            <v>1</v>
          </cell>
          <cell r="R1439">
            <v>0</v>
          </cell>
          <cell r="S1439">
            <v>1</v>
          </cell>
        </row>
        <row r="1440">
          <cell r="E1440">
            <v>384</v>
          </cell>
          <cell r="F1440" t="str">
            <v>아샴</v>
          </cell>
          <cell r="G1440">
            <v>80</v>
          </cell>
          <cell r="H1440">
            <v>304</v>
          </cell>
          <cell r="I1440">
            <v>65</v>
          </cell>
          <cell r="Q1440">
            <v>7</v>
          </cell>
          <cell r="R1440">
            <v>0</v>
          </cell>
          <cell r="S1440">
            <v>7</v>
          </cell>
        </row>
        <row r="1441">
          <cell r="E1441">
            <v>370</v>
          </cell>
          <cell r="F1441" t="str">
            <v>아샴</v>
          </cell>
          <cell r="G1441">
            <v>59</v>
          </cell>
          <cell r="H1441">
            <v>311</v>
          </cell>
          <cell r="I1441">
            <v>66</v>
          </cell>
          <cell r="Q1441">
            <v>3</v>
          </cell>
          <cell r="R1441">
            <v>0</v>
          </cell>
          <cell r="S1441">
            <v>3</v>
          </cell>
        </row>
        <row r="1442">
          <cell r="E1442">
            <v>0</v>
          </cell>
          <cell r="F1442" t="str">
            <v>아샴</v>
          </cell>
          <cell r="H1442">
            <v>0</v>
          </cell>
          <cell r="I1442">
            <v>67</v>
          </cell>
          <cell r="S1442">
            <v>0</v>
          </cell>
        </row>
        <row r="1443">
          <cell r="E1443">
            <v>0</v>
          </cell>
          <cell r="F1443" t="str">
            <v>아샴</v>
          </cell>
          <cell r="H1443">
            <v>0</v>
          </cell>
          <cell r="I1443">
            <v>68</v>
          </cell>
          <cell r="S1443">
            <v>0</v>
          </cell>
        </row>
        <row r="1444">
          <cell r="E1444">
            <v>346</v>
          </cell>
          <cell r="F1444" t="str">
            <v>아샴</v>
          </cell>
          <cell r="G1444">
            <v>74</v>
          </cell>
          <cell r="H1444">
            <v>272</v>
          </cell>
          <cell r="I1444">
            <v>69</v>
          </cell>
          <cell r="Q1444">
            <v>5</v>
          </cell>
          <cell r="R1444">
            <v>0</v>
          </cell>
          <cell r="S1444">
            <v>5</v>
          </cell>
        </row>
        <row r="1445">
          <cell r="E1445">
            <v>159</v>
          </cell>
          <cell r="F1445" t="str">
            <v>아샴</v>
          </cell>
          <cell r="G1445">
            <v>20</v>
          </cell>
          <cell r="H1445">
            <v>139</v>
          </cell>
          <cell r="I1445">
            <v>70</v>
          </cell>
          <cell r="Q1445">
            <v>1</v>
          </cell>
          <cell r="R1445">
            <v>0</v>
          </cell>
          <cell r="S1445">
            <v>1</v>
          </cell>
        </row>
        <row r="1446">
          <cell r="E1446">
            <v>240</v>
          </cell>
          <cell r="F1446" t="str">
            <v>아샴</v>
          </cell>
          <cell r="G1446">
            <v>29</v>
          </cell>
          <cell r="H1446">
            <v>211</v>
          </cell>
          <cell r="I1446">
            <v>71</v>
          </cell>
          <cell r="Q1446">
            <v>4</v>
          </cell>
          <cell r="R1446">
            <v>0</v>
          </cell>
          <cell r="S1446">
            <v>4</v>
          </cell>
        </row>
        <row r="1447">
          <cell r="E1447">
            <v>370</v>
          </cell>
          <cell r="F1447" t="str">
            <v>아샴</v>
          </cell>
          <cell r="G1447">
            <v>77</v>
          </cell>
          <cell r="H1447">
            <v>293</v>
          </cell>
          <cell r="I1447">
            <v>72</v>
          </cell>
          <cell r="Q1447">
            <v>4</v>
          </cell>
          <cell r="R1447">
            <v>0</v>
          </cell>
          <cell r="S1447">
            <v>4</v>
          </cell>
        </row>
        <row r="1448">
          <cell r="E1448">
            <v>331</v>
          </cell>
          <cell r="F1448" t="str">
            <v>아샴</v>
          </cell>
          <cell r="G1448">
            <v>54</v>
          </cell>
          <cell r="H1448">
            <v>277</v>
          </cell>
          <cell r="I1448">
            <v>73</v>
          </cell>
          <cell r="Q1448">
            <v>7</v>
          </cell>
          <cell r="R1448">
            <v>0</v>
          </cell>
          <cell r="S1448">
            <v>7</v>
          </cell>
        </row>
        <row r="1449">
          <cell r="E1449">
            <v>124</v>
          </cell>
          <cell r="F1449" t="str">
            <v>아샴</v>
          </cell>
          <cell r="G1449">
            <v>37</v>
          </cell>
          <cell r="H1449">
            <v>87</v>
          </cell>
          <cell r="I1449">
            <v>74</v>
          </cell>
          <cell r="Q1449">
            <v>0</v>
          </cell>
          <cell r="R1449">
            <v>0</v>
          </cell>
          <cell r="S1449">
            <v>0</v>
          </cell>
        </row>
        <row r="1450">
          <cell r="E1450">
            <v>124</v>
          </cell>
          <cell r="F1450" t="str">
            <v>아샴</v>
          </cell>
          <cell r="G1450">
            <v>26</v>
          </cell>
          <cell r="H1450">
            <v>98</v>
          </cell>
          <cell r="I1450">
            <v>75</v>
          </cell>
          <cell r="Q1450">
            <v>2</v>
          </cell>
          <cell r="R1450">
            <v>0</v>
          </cell>
          <cell r="S1450">
            <v>2</v>
          </cell>
        </row>
        <row r="1451">
          <cell r="E1451">
            <v>277</v>
          </cell>
          <cell r="F1451" t="str">
            <v>아샴</v>
          </cell>
          <cell r="G1451">
            <v>38</v>
          </cell>
          <cell r="H1451">
            <v>239</v>
          </cell>
          <cell r="I1451">
            <v>76</v>
          </cell>
          <cell r="Q1451">
            <v>0</v>
          </cell>
          <cell r="R1451">
            <v>0</v>
          </cell>
          <cell r="S1451">
            <v>0</v>
          </cell>
        </row>
        <row r="1452">
          <cell r="E1452">
            <v>180</v>
          </cell>
          <cell r="F1452" t="str">
            <v>아샴</v>
          </cell>
          <cell r="G1452">
            <v>21</v>
          </cell>
          <cell r="H1452">
            <v>159</v>
          </cell>
          <cell r="I1452">
            <v>77</v>
          </cell>
          <cell r="Q1452">
            <v>2</v>
          </cell>
          <cell r="R1452">
            <v>0</v>
          </cell>
          <cell r="S1452">
            <v>2</v>
          </cell>
        </row>
        <row r="1453">
          <cell r="E1453">
            <v>222</v>
          </cell>
          <cell r="F1453" t="str">
            <v>아샴</v>
          </cell>
          <cell r="G1453">
            <v>46</v>
          </cell>
          <cell r="H1453">
            <v>176</v>
          </cell>
          <cell r="I1453">
            <v>78</v>
          </cell>
          <cell r="Q1453">
            <v>11</v>
          </cell>
          <cell r="R1453">
            <v>0</v>
          </cell>
          <cell r="S1453">
            <v>11</v>
          </cell>
        </row>
        <row r="1454">
          <cell r="E1454">
            <v>447</v>
          </cell>
          <cell r="F1454" t="str">
            <v>아샴</v>
          </cell>
          <cell r="G1454">
            <v>120</v>
          </cell>
          <cell r="H1454">
            <v>327</v>
          </cell>
          <cell r="I1454">
            <v>79</v>
          </cell>
          <cell r="Q1454">
            <v>4</v>
          </cell>
          <cell r="R1454">
            <v>0</v>
          </cell>
          <cell r="S1454">
            <v>4</v>
          </cell>
        </row>
        <row r="1455">
          <cell r="E1455">
            <v>331</v>
          </cell>
          <cell r="F1455" t="str">
            <v>아샴</v>
          </cell>
          <cell r="G1455">
            <v>51</v>
          </cell>
          <cell r="H1455">
            <v>280</v>
          </cell>
          <cell r="I1455">
            <v>80</v>
          </cell>
          <cell r="Q1455">
            <v>8</v>
          </cell>
          <cell r="R1455">
            <v>0</v>
          </cell>
          <cell r="S1455">
            <v>8</v>
          </cell>
        </row>
        <row r="1456">
          <cell r="E1456">
            <v>165</v>
          </cell>
          <cell r="F1456" t="str">
            <v>아샴</v>
          </cell>
          <cell r="G1456">
            <v>34</v>
          </cell>
          <cell r="H1456">
            <v>131</v>
          </cell>
          <cell r="I1456">
            <v>81</v>
          </cell>
          <cell r="Q1456">
            <v>6</v>
          </cell>
          <cell r="R1456">
            <v>0</v>
          </cell>
          <cell r="S1456">
            <v>6</v>
          </cell>
        </row>
        <row r="1457">
          <cell r="E1457">
            <v>476</v>
          </cell>
          <cell r="F1457" t="str">
            <v>아샴</v>
          </cell>
          <cell r="G1457">
            <v>150</v>
          </cell>
          <cell r="H1457">
            <v>326</v>
          </cell>
          <cell r="I1457">
            <v>82</v>
          </cell>
          <cell r="Q1457">
            <v>12</v>
          </cell>
          <cell r="R1457">
            <v>0</v>
          </cell>
          <cell r="S1457">
            <v>12</v>
          </cell>
        </row>
        <row r="1458">
          <cell r="E1458">
            <v>149</v>
          </cell>
          <cell r="F1458" t="str">
            <v>아샴</v>
          </cell>
          <cell r="G1458">
            <v>28</v>
          </cell>
          <cell r="H1458">
            <v>121</v>
          </cell>
          <cell r="I1458">
            <v>83</v>
          </cell>
          <cell r="Q1458">
            <v>4</v>
          </cell>
          <cell r="R1458">
            <v>0</v>
          </cell>
          <cell r="S1458">
            <v>4</v>
          </cell>
        </row>
        <row r="1459">
          <cell r="E1459">
            <v>508</v>
          </cell>
          <cell r="F1459" t="str">
            <v>아샴</v>
          </cell>
          <cell r="G1459">
            <v>142</v>
          </cell>
          <cell r="H1459">
            <v>366</v>
          </cell>
          <cell r="I1459">
            <v>84</v>
          </cell>
          <cell r="Q1459">
            <v>5</v>
          </cell>
          <cell r="R1459">
            <v>0</v>
          </cell>
          <cell r="S1459">
            <v>5</v>
          </cell>
        </row>
        <row r="1460">
          <cell r="E1460">
            <v>272</v>
          </cell>
          <cell r="F1460" t="str">
            <v>아샴</v>
          </cell>
          <cell r="G1460">
            <v>37</v>
          </cell>
          <cell r="H1460">
            <v>235</v>
          </cell>
          <cell r="I1460">
            <v>85</v>
          </cell>
          <cell r="Q1460">
            <v>4</v>
          </cell>
          <cell r="R1460">
            <v>0</v>
          </cell>
          <cell r="S1460">
            <v>4</v>
          </cell>
        </row>
        <row r="1461">
          <cell r="E1461">
            <v>463</v>
          </cell>
          <cell r="F1461" t="str">
            <v>아샴</v>
          </cell>
          <cell r="G1461">
            <v>154</v>
          </cell>
          <cell r="H1461">
            <v>309</v>
          </cell>
          <cell r="I1461">
            <v>86</v>
          </cell>
          <cell r="Q1461">
            <v>19</v>
          </cell>
          <cell r="R1461">
            <v>0</v>
          </cell>
          <cell r="S1461">
            <v>19</v>
          </cell>
        </row>
        <row r="1462">
          <cell r="E1462">
            <v>392</v>
          </cell>
          <cell r="F1462" t="str">
            <v>아샴</v>
          </cell>
          <cell r="G1462">
            <v>86</v>
          </cell>
          <cell r="H1462">
            <v>306</v>
          </cell>
          <cell r="I1462">
            <v>87</v>
          </cell>
          <cell r="Q1462">
            <v>13</v>
          </cell>
          <cell r="R1462">
            <v>0</v>
          </cell>
          <cell r="S1462">
            <v>13</v>
          </cell>
        </row>
        <row r="1463">
          <cell r="E1463">
            <v>229</v>
          </cell>
          <cell r="F1463" t="str">
            <v>아샴</v>
          </cell>
          <cell r="G1463">
            <v>50</v>
          </cell>
          <cell r="H1463">
            <v>179</v>
          </cell>
          <cell r="I1463">
            <v>88</v>
          </cell>
          <cell r="Q1463">
            <v>5</v>
          </cell>
          <cell r="R1463">
            <v>0</v>
          </cell>
          <cell r="S1463">
            <v>5</v>
          </cell>
        </row>
        <row r="1464">
          <cell r="E1464">
            <v>300</v>
          </cell>
          <cell r="F1464" t="str">
            <v>아샴</v>
          </cell>
          <cell r="G1464">
            <v>80</v>
          </cell>
          <cell r="H1464">
            <v>220</v>
          </cell>
          <cell r="I1464">
            <v>89</v>
          </cell>
          <cell r="Q1464">
            <v>11</v>
          </cell>
          <cell r="R1464">
            <v>0</v>
          </cell>
          <cell r="S1464">
            <v>11</v>
          </cell>
        </row>
        <row r="1465">
          <cell r="E1465">
            <v>740</v>
          </cell>
          <cell r="F1465" t="str">
            <v>아샴</v>
          </cell>
          <cell r="G1465">
            <v>230</v>
          </cell>
          <cell r="H1465">
            <v>510</v>
          </cell>
          <cell r="I1465">
            <v>90</v>
          </cell>
          <cell r="Q1465">
            <v>20</v>
          </cell>
          <cell r="R1465">
            <v>0</v>
          </cell>
          <cell r="S1465">
            <v>20</v>
          </cell>
        </row>
        <row r="1466">
          <cell r="E1466">
            <v>407</v>
          </cell>
          <cell r="F1466" t="str">
            <v>아샴</v>
          </cell>
          <cell r="G1466">
            <v>109</v>
          </cell>
          <cell r="H1466">
            <v>298</v>
          </cell>
          <cell r="I1466">
            <v>91</v>
          </cell>
          <cell r="Q1466">
            <v>4</v>
          </cell>
          <cell r="R1466">
            <v>0</v>
          </cell>
          <cell r="S1466">
            <v>4</v>
          </cell>
        </row>
        <row r="1467">
          <cell r="E1467">
            <v>380</v>
          </cell>
          <cell r="F1467" t="str">
            <v>아샴</v>
          </cell>
          <cell r="G1467">
            <v>93</v>
          </cell>
          <cell r="H1467">
            <v>287</v>
          </cell>
          <cell r="I1467">
            <v>92</v>
          </cell>
          <cell r="Q1467">
            <v>5</v>
          </cell>
          <cell r="R1467">
            <v>0</v>
          </cell>
          <cell r="S1467">
            <v>5</v>
          </cell>
        </row>
        <row r="1468">
          <cell r="E1468">
            <v>831</v>
          </cell>
          <cell r="F1468" t="str">
            <v>아샴</v>
          </cell>
          <cell r="G1468">
            <v>310</v>
          </cell>
          <cell r="H1468">
            <v>521</v>
          </cell>
          <cell r="I1468">
            <v>93</v>
          </cell>
          <cell r="Q1468">
            <v>17</v>
          </cell>
          <cell r="R1468">
            <v>0</v>
          </cell>
          <cell r="S1468">
            <v>17</v>
          </cell>
        </row>
        <row r="1469">
          <cell r="E1469">
            <v>1605</v>
          </cell>
          <cell r="F1469" t="str">
            <v>아샴</v>
          </cell>
          <cell r="G1469">
            <v>23</v>
          </cell>
          <cell r="H1469">
            <v>1582</v>
          </cell>
          <cell r="I1469">
            <v>94</v>
          </cell>
          <cell r="Q1469">
            <v>193</v>
          </cell>
          <cell r="R1469">
            <v>0</v>
          </cell>
          <cell r="S1469">
            <v>193</v>
          </cell>
        </row>
        <row r="1470">
          <cell r="E1470">
            <v>0</v>
          </cell>
          <cell r="F1470">
            <v>0</v>
          </cell>
          <cell r="H1470">
            <v>0</v>
          </cell>
          <cell r="I1470">
            <v>416</v>
          </cell>
          <cell r="S1470">
            <v>0</v>
          </cell>
        </row>
        <row r="1471">
          <cell r="E1471">
            <v>0</v>
          </cell>
          <cell r="F1471">
            <v>0</v>
          </cell>
          <cell r="H1471">
            <v>0</v>
          </cell>
          <cell r="I1471">
            <v>417</v>
          </cell>
          <cell r="S1471">
            <v>0</v>
          </cell>
        </row>
        <row r="1472">
          <cell r="E1472">
            <v>0</v>
          </cell>
          <cell r="F1472">
            <v>0</v>
          </cell>
          <cell r="H1472">
            <v>0</v>
          </cell>
          <cell r="I1472">
            <v>418</v>
          </cell>
          <cell r="S1472">
            <v>0</v>
          </cell>
        </row>
        <row r="1473">
          <cell r="E1473">
            <v>0</v>
          </cell>
          <cell r="F1473">
            <v>0</v>
          </cell>
          <cell r="H1473">
            <v>0</v>
          </cell>
          <cell r="I1473">
            <v>419</v>
          </cell>
          <cell r="S1473">
            <v>0</v>
          </cell>
        </row>
        <row r="1474">
          <cell r="E1474">
            <v>0</v>
          </cell>
          <cell r="F1474">
            <v>0</v>
          </cell>
          <cell r="H1474">
            <v>0</v>
          </cell>
          <cell r="I1474">
            <v>420</v>
          </cell>
          <cell r="S1474">
            <v>0</v>
          </cell>
        </row>
        <row r="1475">
          <cell r="E1475">
            <v>0</v>
          </cell>
          <cell r="F1475">
            <v>0</v>
          </cell>
          <cell r="H1475">
            <v>0</v>
          </cell>
          <cell r="I1475">
            <v>421</v>
          </cell>
          <cell r="S1475">
            <v>0</v>
          </cell>
        </row>
        <row r="1476">
          <cell r="E1476">
            <v>0</v>
          </cell>
          <cell r="F1476">
            <v>0</v>
          </cell>
          <cell r="H1476">
            <v>0</v>
          </cell>
          <cell r="I1476">
            <v>422</v>
          </cell>
          <cell r="S1476">
            <v>0</v>
          </cell>
        </row>
        <row r="1477">
          <cell r="E1477">
            <v>0</v>
          </cell>
          <cell r="F1477">
            <v>0</v>
          </cell>
          <cell r="H1477">
            <v>0</v>
          </cell>
          <cell r="I1477">
            <v>423</v>
          </cell>
          <cell r="S1477">
            <v>0</v>
          </cell>
        </row>
        <row r="1478">
          <cell r="E1478">
            <v>0</v>
          </cell>
          <cell r="F1478">
            <v>0</v>
          </cell>
          <cell r="H1478">
            <v>0</v>
          </cell>
          <cell r="I1478">
            <v>424</v>
          </cell>
          <cell r="S1478">
            <v>0</v>
          </cell>
        </row>
        <row r="1479">
          <cell r="E1479">
            <v>0</v>
          </cell>
          <cell r="F1479">
            <v>0</v>
          </cell>
          <cell r="H1479">
            <v>0</v>
          </cell>
          <cell r="I1479">
            <v>425</v>
          </cell>
          <cell r="S1479">
            <v>0</v>
          </cell>
        </row>
        <row r="1480">
          <cell r="E1480">
            <v>0</v>
          </cell>
          <cell r="F1480">
            <v>0</v>
          </cell>
          <cell r="H1480">
            <v>0</v>
          </cell>
          <cell r="I1480">
            <v>426</v>
          </cell>
          <cell r="S1480">
            <v>0</v>
          </cell>
        </row>
        <row r="1481">
          <cell r="E1481">
            <v>0</v>
          </cell>
          <cell r="F1481">
            <v>0</v>
          </cell>
          <cell r="H1481">
            <v>0</v>
          </cell>
          <cell r="I1481">
            <v>427</v>
          </cell>
          <cell r="S1481">
            <v>0</v>
          </cell>
        </row>
        <row r="1482">
          <cell r="E1482">
            <v>0</v>
          </cell>
          <cell r="F1482">
            <v>0</v>
          </cell>
          <cell r="G1482"/>
          <cell r="H1482">
            <v>0</v>
          </cell>
          <cell r="I1482">
            <v>428</v>
          </cell>
          <cell r="S1482">
            <v>0</v>
          </cell>
        </row>
        <row r="1483">
          <cell r="E1483">
            <v>0</v>
          </cell>
          <cell r="F1483">
            <v>0</v>
          </cell>
          <cell r="H1483">
            <v>0</v>
          </cell>
          <cell r="I1483">
            <v>429</v>
          </cell>
          <cell r="S1483">
            <v>0</v>
          </cell>
        </row>
        <row r="1484">
          <cell r="E1484">
            <v>0</v>
          </cell>
          <cell r="F1484">
            <v>0</v>
          </cell>
          <cell r="H1484">
            <v>0</v>
          </cell>
          <cell r="I1484">
            <v>430</v>
          </cell>
          <cell r="S1484">
            <v>0</v>
          </cell>
        </row>
        <row r="1485">
          <cell r="E1485">
            <v>0</v>
          </cell>
          <cell r="F1485">
            <v>0</v>
          </cell>
          <cell r="H1485">
            <v>0</v>
          </cell>
          <cell r="I1485">
            <v>431</v>
          </cell>
          <cell r="S1485">
            <v>0</v>
          </cell>
        </row>
        <row r="1486">
          <cell r="E1486">
            <v>0</v>
          </cell>
          <cell r="F1486">
            <v>0</v>
          </cell>
          <cell r="H1486">
            <v>0</v>
          </cell>
          <cell r="I1486">
            <v>432</v>
          </cell>
          <cell r="S1486">
            <v>0</v>
          </cell>
        </row>
        <row r="1487">
          <cell r="E1487">
            <v>0</v>
          </cell>
          <cell r="F1487">
            <v>0</v>
          </cell>
          <cell r="H1487">
            <v>0</v>
          </cell>
          <cell r="I1487">
            <v>433</v>
          </cell>
          <cell r="S1487">
            <v>0</v>
          </cell>
        </row>
        <row r="1488">
          <cell r="E1488">
            <v>0</v>
          </cell>
          <cell r="F1488">
            <v>0</v>
          </cell>
          <cell r="H1488">
            <v>0</v>
          </cell>
          <cell r="I1488">
            <v>434</v>
          </cell>
          <cell r="S1488">
            <v>0</v>
          </cell>
        </row>
        <row r="1489">
          <cell r="E1489">
            <v>0</v>
          </cell>
          <cell r="F1489">
            <v>0</v>
          </cell>
          <cell r="H1489">
            <v>0</v>
          </cell>
          <cell r="I1489">
            <v>435</v>
          </cell>
          <cell r="S1489">
            <v>0</v>
          </cell>
        </row>
        <row r="1490">
          <cell r="E1490">
            <v>0</v>
          </cell>
          <cell r="F1490">
            <v>0</v>
          </cell>
          <cell r="H1490">
            <v>0</v>
          </cell>
          <cell r="I1490">
            <v>436</v>
          </cell>
          <cell r="S1490">
            <v>0</v>
          </cell>
        </row>
        <row r="1491">
          <cell r="E1491">
            <v>0</v>
          </cell>
          <cell r="F1491">
            <v>0</v>
          </cell>
          <cell r="H1491">
            <v>0</v>
          </cell>
          <cell r="I1491">
            <v>437</v>
          </cell>
        </row>
        <row r="1492">
          <cell r="E1492">
            <v>0</v>
          </cell>
          <cell r="F1492">
            <v>0</v>
          </cell>
          <cell r="H1492">
            <v>0</v>
          </cell>
          <cell r="I1492">
            <v>438</v>
          </cell>
        </row>
        <row r="1493">
          <cell r="E1493">
            <v>0</v>
          </cell>
          <cell r="F1493">
            <v>0</v>
          </cell>
          <cell r="H1493">
            <v>0</v>
          </cell>
          <cell r="I1493">
            <v>439</v>
          </cell>
        </row>
        <row r="1494">
          <cell r="E1494">
            <v>0</v>
          </cell>
          <cell r="F1494">
            <v>0</v>
          </cell>
          <cell r="H1494">
            <v>0</v>
          </cell>
          <cell r="I1494">
            <v>440</v>
          </cell>
        </row>
        <row r="1495">
          <cell r="E1495">
            <v>0</v>
          </cell>
          <cell r="F1495">
            <v>0</v>
          </cell>
          <cell r="H1495">
            <v>0</v>
          </cell>
          <cell r="I1495">
            <v>441</v>
          </cell>
        </row>
        <row r="1496">
          <cell r="E1496">
            <v>0</v>
          </cell>
          <cell r="F1496">
            <v>0</v>
          </cell>
          <cell r="H1496">
            <v>0</v>
          </cell>
          <cell r="I1496">
            <v>442</v>
          </cell>
        </row>
        <row r="1497">
          <cell r="E1497">
            <v>0</v>
          </cell>
          <cell r="F1497">
            <v>0</v>
          </cell>
          <cell r="H1497">
            <v>0</v>
          </cell>
          <cell r="I1497">
            <v>443</v>
          </cell>
        </row>
        <row r="1498">
          <cell r="E1498">
            <v>0</v>
          </cell>
          <cell r="F1498">
            <v>0</v>
          </cell>
          <cell r="H1498">
            <v>0</v>
          </cell>
          <cell r="I1498">
            <v>444</v>
          </cell>
        </row>
        <row r="1499">
          <cell r="E1499">
            <v>0</v>
          </cell>
          <cell r="F1499">
            <v>0</v>
          </cell>
          <cell r="H1499">
            <v>0</v>
          </cell>
          <cell r="I1499">
            <v>445</v>
          </cell>
        </row>
        <row r="1500">
          <cell r="E1500">
            <v>0</v>
          </cell>
          <cell r="F1500">
            <v>0</v>
          </cell>
          <cell r="H1500">
            <v>0</v>
          </cell>
          <cell r="I1500">
            <v>446</v>
          </cell>
        </row>
        <row r="1501">
          <cell r="E1501">
            <v>0</v>
          </cell>
          <cell r="F1501">
            <v>0</v>
          </cell>
          <cell r="H1501">
            <v>0</v>
          </cell>
          <cell r="I1501">
            <v>447</v>
          </cell>
        </row>
        <row r="1502">
          <cell r="E1502">
            <v>0</v>
          </cell>
          <cell r="F1502">
            <v>0</v>
          </cell>
          <cell r="H1502">
            <v>0</v>
          </cell>
          <cell r="I1502">
            <v>448</v>
          </cell>
        </row>
        <row r="1503">
          <cell r="E1503">
            <v>0</v>
          </cell>
          <cell r="F1503">
            <v>0</v>
          </cell>
          <cell r="H1503">
            <v>0</v>
          </cell>
          <cell r="I1503">
            <v>449</v>
          </cell>
        </row>
        <row r="1504">
          <cell r="E1504">
            <v>0</v>
          </cell>
          <cell r="F1504">
            <v>0</v>
          </cell>
          <cell r="H1504">
            <v>0</v>
          </cell>
          <cell r="I1504">
            <v>450</v>
          </cell>
        </row>
        <row r="1505">
          <cell r="E1505">
            <v>0</v>
          </cell>
          <cell r="F1505">
            <v>0</v>
          </cell>
          <cell r="H1505">
            <v>0</v>
          </cell>
          <cell r="I1505">
            <v>451</v>
          </cell>
        </row>
        <row r="1506">
          <cell r="E1506">
            <v>0</v>
          </cell>
          <cell r="F1506">
            <v>0</v>
          </cell>
          <cell r="H1506">
            <v>0</v>
          </cell>
          <cell r="I1506">
            <v>452</v>
          </cell>
        </row>
        <row r="1507">
          <cell r="E1507">
            <v>0</v>
          </cell>
          <cell r="F1507">
            <v>0</v>
          </cell>
          <cell r="H1507">
            <v>0</v>
          </cell>
          <cell r="I1507">
            <v>453</v>
          </cell>
        </row>
        <row r="1508">
          <cell r="E1508">
            <v>0</v>
          </cell>
          <cell r="F1508">
            <v>0</v>
          </cell>
          <cell r="H1508">
            <v>0</v>
          </cell>
          <cell r="I1508">
            <v>454</v>
          </cell>
        </row>
        <row r="1509">
          <cell r="E1509">
            <v>0</v>
          </cell>
          <cell r="F1509">
            <v>0</v>
          </cell>
          <cell r="H1509">
            <v>0</v>
          </cell>
          <cell r="I1509">
            <v>455</v>
          </cell>
        </row>
        <row r="1510">
          <cell r="E1510">
            <v>0</v>
          </cell>
          <cell r="F1510">
            <v>0</v>
          </cell>
          <cell r="H1510">
            <v>0</v>
          </cell>
          <cell r="I1510">
            <v>456</v>
          </cell>
        </row>
        <row r="1511">
          <cell r="E1511">
            <v>0</v>
          </cell>
          <cell r="F1511">
            <v>0</v>
          </cell>
          <cell r="H1511">
            <v>0</v>
          </cell>
          <cell r="I1511">
            <v>457</v>
          </cell>
        </row>
        <row r="1512">
          <cell r="E1512">
            <v>0</v>
          </cell>
          <cell r="F1512">
            <v>0</v>
          </cell>
          <cell r="H1512">
            <v>0</v>
          </cell>
          <cell r="I1512">
            <v>458</v>
          </cell>
        </row>
        <row r="1513">
          <cell r="E1513">
            <v>0</v>
          </cell>
          <cell r="F1513">
            <v>0</v>
          </cell>
          <cell r="H1513">
            <v>0</v>
          </cell>
          <cell r="I1513">
            <v>459</v>
          </cell>
        </row>
        <row r="1514">
          <cell r="E1514">
            <v>0</v>
          </cell>
          <cell r="F1514">
            <v>0</v>
          </cell>
          <cell r="H1514">
            <v>0</v>
          </cell>
          <cell r="I1514">
            <v>460</v>
          </cell>
        </row>
        <row r="1515">
          <cell r="E1515">
            <v>0</v>
          </cell>
          <cell r="F1515">
            <v>0</v>
          </cell>
          <cell r="H1515">
            <v>0</v>
          </cell>
          <cell r="I1515">
            <v>461</v>
          </cell>
        </row>
        <row r="1516">
          <cell r="E1516">
            <v>0</v>
          </cell>
          <cell r="F1516">
            <v>0</v>
          </cell>
          <cell r="H1516">
            <v>0</v>
          </cell>
          <cell r="I1516">
            <v>462</v>
          </cell>
        </row>
        <row r="1517">
          <cell r="E1517">
            <v>0</v>
          </cell>
          <cell r="F1517">
            <v>0</v>
          </cell>
          <cell r="H1517">
            <v>0</v>
          </cell>
          <cell r="I1517">
            <v>463</v>
          </cell>
        </row>
        <row r="1518">
          <cell r="E1518">
            <v>0</v>
          </cell>
          <cell r="F1518">
            <v>0</v>
          </cell>
          <cell r="H1518">
            <v>0</v>
          </cell>
          <cell r="I1518">
            <v>464</v>
          </cell>
        </row>
        <row r="1519">
          <cell r="E1519">
            <v>0</v>
          </cell>
          <cell r="F1519">
            <v>0</v>
          </cell>
          <cell r="H1519">
            <v>0</v>
          </cell>
          <cell r="I1519">
            <v>465</v>
          </cell>
        </row>
        <row r="1520">
          <cell r="E1520">
            <v>0</v>
          </cell>
          <cell r="F1520">
            <v>0</v>
          </cell>
          <cell r="H1520">
            <v>0</v>
          </cell>
          <cell r="I1520">
            <v>466</v>
          </cell>
        </row>
        <row r="1521">
          <cell r="E1521">
            <v>0</v>
          </cell>
          <cell r="F1521">
            <v>0</v>
          </cell>
          <cell r="H1521">
            <v>0</v>
          </cell>
          <cell r="I1521">
            <v>467</v>
          </cell>
        </row>
        <row r="1522">
          <cell r="E1522">
            <v>0</v>
          </cell>
          <cell r="F1522">
            <v>0</v>
          </cell>
          <cell r="H1522">
            <v>0</v>
          </cell>
          <cell r="I1522">
            <v>468</v>
          </cell>
        </row>
        <row r="1523">
          <cell r="E1523">
            <v>0</v>
          </cell>
          <cell r="F1523">
            <v>0</v>
          </cell>
          <cell r="H1523">
            <v>0</v>
          </cell>
          <cell r="I1523">
            <v>469</v>
          </cell>
        </row>
        <row r="1524">
          <cell r="E1524">
            <v>0</v>
          </cell>
          <cell r="F1524">
            <v>0</v>
          </cell>
          <cell r="H1524">
            <v>0</v>
          </cell>
          <cell r="I1524">
            <v>470</v>
          </cell>
        </row>
        <row r="1525">
          <cell r="E1525">
            <v>0</v>
          </cell>
          <cell r="F1525">
            <v>0</v>
          </cell>
          <cell r="H1525">
            <v>0</v>
          </cell>
          <cell r="I1525">
            <v>471</v>
          </cell>
        </row>
        <row r="1526">
          <cell r="E1526">
            <v>0</v>
          </cell>
          <cell r="F1526">
            <v>0</v>
          </cell>
          <cell r="H1526">
            <v>0</v>
          </cell>
          <cell r="I1526">
            <v>472</v>
          </cell>
        </row>
        <row r="1527">
          <cell r="E1527">
            <v>0</v>
          </cell>
          <cell r="F1527">
            <v>0</v>
          </cell>
          <cell r="H1527">
            <v>0</v>
          </cell>
          <cell r="I1527">
            <v>473</v>
          </cell>
        </row>
        <row r="1528">
          <cell r="E1528">
            <v>0</v>
          </cell>
          <cell r="F1528">
            <v>0</v>
          </cell>
          <cell r="H1528">
            <v>0</v>
          </cell>
          <cell r="I1528">
            <v>474</v>
          </cell>
        </row>
        <row r="1529">
          <cell r="E1529">
            <v>0</v>
          </cell>
          <cell r="F1529">
            <v>0</v>
          </cell>
          <cell r="H1529">
            <v>0</v>
          </cell>
          <cell r="I1529">
            <v>475</v>
          </cell>
        </row>
        <row r="1530">
          <cell r="E1530">
            <v>0</v>
          </cell>
          <cell r="F1530">
            <v>0</v>
          </cell>
          <cell r="H1530">
            <v>0</v>
          </cell>
          <cell r="I1530">
            <v>476</v>
          </cell>
        </row>
        <row r="1531">
          <cell r="E1531">
            <v>0</v>
          </cell>
          <cell r="F1531">
            <v>0</v>
          </cell>
          <cell r="H1531">
            <v>0</v>
          </cell>
          <cell r="I1531">
            <v>477</v>
          </cell>
        </row>
        <row r="1532">
          <cell r="E1532">
            <v>0</v>
          </cell>
          <cell r="F1532">
            <v>0</v>
          </cell>
          <cell r="H1532">
            <v>0</v>
          </cell>
          <cell r="I1532">
            <v>478</v>
          </cell>
        </row>
        <row r="1533">
          <cell r="E1533">
            <v>0</v>
          </cell>
          <cell r="F1533">
            <v>0</v>
          </cell>
          <cell r="H1533">
            <v>0</v>
          </cell>
          <cell r="I1533">
            <v>479</v>
          </cell>
        </row>
        <row r="1534">
          <cell r="E1534">
            <v>0</v>
          </cell>
          <cell r="F1534">
            <v>0</v>
          </cell>
          <cell r="H1534">
            <v>0</v>
          </cell>
          <cell r="I1534">
            <v>480</v>
          </cell>
        </row>
        <row r="1535">
          <cell r="E1535">
            <v>0</v>
          </cell>
          <cell r="F1535">
            <v>0</v>
          </cell>
          <cell r="H1535">
            <v>0</v>
          </cell>
          <cell r="I1535">
            <v>481</v>
          </cell>
        </row>
        <row r="1536">
          <cell r="E1536">
            <v>0</v>
          </cell>
          <cell r="F1536">
            <v>0</v>
          </cell>
          <cell r="H1536">
            <v>0</v>
          </cell>
          <cell r="I1536">
            <v>482</v>
          </cell>
        </row>
        <row r="1537">
          <cell r="E1537">
            <v>0</v>
          </cell>
          <cell r="F1537">
            <v>0</v>
          </cell>
          <cell r="H1537">
            <v>0</v>
          </cell>
          <cell r="I1537">
            <v>483</v>
          </cell>
        </row>
        <row r="1538">
          <cell r="E1538">
            <v>0</v>
          </cell>
          <cell r="F1538">
            <v>0</v>
          </cell>
          <cell r="H1538">
            <v>0</v>
          </cell>
          <cell r="I1538">
            <v>484</v>
          </cell>
        </row>
        <row r="1539">
          <cell r="E1539">
            <v>0</v>
          </cell>
          <cell r="F1539">
            <v>0</v>
          </cell>
          <cell r="H1539">
            <v>0</v>
          </cell>
          <cell r="I1539">
            <v>485</v>
          </cell>
        </row>
        <row r="1540">
          <cell r="E1540">
            <v>0</v>
          </cell>
          <cell r="F1540">
            <v>0</v>
          </cell>
          <cell r="H1540">
            <v>0</v>
          </cell>
          <cell r="I1540">
            <v>486</v>
          </cell>
        </row>
        <row r="1541">
          <cell r="E1541">
            <v>0</v>
          </cell>
          <cell r="F1541">
            <v>0</v>
          </cell>
          <cell r="H1541">
            <v>0</v>
          </cell>
          <cell r="I1541">
            <v>487</v>
          </cell>
        </row>
        <row r="1542">
          <cell r="E1542">
            <v>0</v>
          </cell>
          <cell r="F1542">
            <v>0</v>
          </cell>
          <cell r="H1542">
            <v>0</v>
          </cell>
          <cell r="I1542">
            <v>488</v>
          </cell>
        </row>
        <row r="1543">
          <cell r="E1543">
            <v>0</v>
          </cell>
          <cell r="F1543">
            <v>0</v>
          </cell>
          <cell r="H1543">
            <v>0</v>
          </cell>
          <cell r="I1543">
            <v>489</v>
          </cell>
        </row>
        <row r="1544">
          <cell r="E1544">
            <v>0</v>
          </cell>
          <cell r="F1544">
            <v>0</v>
          </cell>
          <cell r="H1544">
            <v>0</v>
          </cell>
          <cell r="I1544">
            <v>490</v>
          </cell>
        </row>
        <row r="1545">
          <cell r="E1545">
            <v>0</v>
          </cell>
          <cell r="F1545">
            <v>0</v>
          </cell>
          <cell r="H1545">
            <v>0</v>
          </cell>
          <cell r="I1545">
            <v>491</v>
          </cell>
        </row>
        <row r="1546">
          <cell r="E1546">
            <v>0</v>
          </cell>
          <cell r="F1546">
            <v>0</v>
          </cell>
          <cell r="H1546">
            <v>0</v>
          </cell>
          <cell r="I1546">
            <v>492</v>
          </cell>
        </row>
        <row r="1547">
          <cell r="E1547">
            <v>0</v>
          </cell>
          <cell r="F1547">
            <v>0</v>
          </cell>
          <cell r="H1547">
            <v>0</v>
          </cell>
          <cell r="I1547">
            <v>493</v>
          </cell>
        </row>
        <row r="1548">
          <cell r="E1548">
            <v>0</v>
          </cell>
          <cell r="F1548">
            <v>0</v>
          </cell>
          <cell r="H1548">
            <v>0</v>
          </cell>
          <cell r="I1548">
            <v>494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3" tint="-0.249977111117893"/>
  </sheetPr>
  <dimension ref="B1:C15"/>
  <sheetViews>
    <sheetView showGridLines="0" topLeftCell="A13" workbookViewId="0"/>
  </sheetViews>
  <sheetFormatPr defaultRowHeight="12.75" x14ac:dyDescent="0.25"/>
  <cols>
    <col min="3" max="3" width="18" customWidth="1"/>
  </cols>
  <sheetData>
    <row r="1" spans="2:3" hidden="1" x14ac:dyDescent="0.25"/>
    <row r="2" spans="2:3" hidden="1" x14ac:dyDescent="0.25">
      <c r="B2">
        <v>6</v>
      </c>
    </row>
    <row r="3" spans="2:3" hidden="1" x14ac:dyDescent="0.25"/>
    <row r="4" spans="2:3" hidden="1" x14ac:dyDescent="0.25"/>
    <row r="5" spans="2:3" hidden="1" x14ac:dyDescent="0.25"/>
    <row r="6" spans="2:3" hidden="1" x14ac:dyDescent="0.25"/>
    <row r="7" spans="2:3" hidden="1" x14ac:dyDescent="0.25"/>
    <row r="8" spans="2:3" hidden="1" x14ac:dyDescent="0.25"/>
    <row r="9" spans="2:3" hidden="1" x14ac:dyDescent="0.25"/>
    <row r="10" spans="2:3" hidden="1" x14ac:dyDescent="0.25"/>
    <row r="11" spans="2:3" hidden="1" x14ac:dyDescent="0.25"/>
    <row r="12" spans="2:3" hidden="1" x14ac:dyDescent="0.25"/>
    <row r="15" spans="2:3" ht="27" customHeight="1" x14ac:dyDescent="0.25">
      <c r="C15" s="22">
        <f>+b_stick!$O$5</f>
        <v>45</v>
      </c>
    </row>
  </sheetData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Spinner 1">
              <controlPr defaultSize="0" autoPict="0">
                <anchor moveWithCells="1" sizeWithCells="1">
                  <from>
                    <xdr:col>4</xdr:col>
                    <xdr:colOff>333375</xdr:colOff>
                    <xdr:row>12</xdr:row>
                    <xdr:rowOff>152400</xdr:rowOff>
                  </from>
                  <to>
                    <xdr:col>5</xdr:col>
                    <xdr:colOff>390525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EH27"/>
  <sheetViews>
    <sheetView showGridLines="0" workbookViewId="0"/>
  </sheetViews>
  <sheetFormatPr defaultRowHeight="12.75" x14ac:dyDescent="0.25"/>
  <cols>
    <col min="2" max="2" width="19.140625" customWidth="1"/>
    <col min="3" max="21" width="9.5703125" customWidth="1"/>
  </cols>
  <sheetData>
    <row r="2" spans="1:138" x14ac:dyDescent="0.25">
      <c r="B2" s="18">
        <v>45</v>
      </c>
    </row>
    <row r="3" spans="1:138" x14ac:dyDescent="0.25">
      <c r="B3" s="14" t="s">
        <v>18</v>
      </c>
      <c r="C3" s="20">
        <v>1</v>
      </c>
      <c r="D3" s="20">
        <v>2</v>
      </c>
      <c r="E3" s="20">
        <v>3</v>
      </c>
      <c r="F3" s="20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  <c r="CY3">
        <v>101</v>
      </c>
      <c r="CZ3">
        <v>102</v>
      </c>
      <c r="DA3">
        <v>103</v>
      </c>
      <c r="DB3">
        <v>104</v>
      </c>
      <c r="DC3">
        <v>105</v>
      </c>
      <c r="DD3">
        <v>106</v>
      </c>
      <c r="DE3">
        <v>107</v>
      </c>
      <c r="DF3">
        <v>108</v>
      </c>
      <c r="DG3">
        <v>109</v>
      </c>
      <c r="DH3">
        <v>110</v>
      </c>
      <c r="DI3">
        <v>111</v>
      </c>
      <c r="DJ3">
        <v>112</v>
      </c>
      <c r="DK3">
        <v>113</v>
      </c>
      <c r="DL3">
        <v>114</v>
      </c>
      <c r="DM3">
        <v>115</v>
      </c>
      <c r="DN3">
        <v>116</v>
      </c>
      <c r="DO3">
        <v>117</v>
      </c>
      <c r="DP3">
        <v>118</v>
      </c>
      <c r="DQ3">
        <v>119</v>
      </c>
      <c r="DR3">
        <v>120</v>
      </c>
      <c r="DS3">
        <v>121</v>
      </c>
      <c r="DT3">
        <v>122</v>
      </c>
      <c r="DU3">
        <v>123</v>
      </c>
      <c r="DV3">
        <v>124</v>
      </c>
      <c r="DW3">
        <v>125</v>
      </c>
      <c r="DX3">
        <v>126</v>
      </c>
      <c r="DY3">
        <v>127</v>
      </c>
      <c r="DZ3">
        <v>128</v>
      </c>
      <c r="EA3">
        <v>129</v>
      </c>
      <c r="EB3">
        <v>130</v>
      </c>
      <c r="EC3">
        <v>131</v>
      </c>
      <c r="ED3">
        <v>132</v>
      </c>
      <c r="EE3">
        <v>133</v>
      </c>
      <c r="EF3">
        <v>134</v>
      </c>
      <c r="EG3">
        <v>135</v>
      </c>
      <c r="EH3">
        <v>136</v>
      </c>
    </row>
    <row r="4" spans="1:138" x14ac:dyDescent="0.25">
      <c r="A4" s="13"/>
      <c r="B4" s="14" t="s">
        <v>3</v>
      </c>
      <c r="C4" s="21">
        <v>899</v>
      </c>
      <c r="D4" s="21">
        <v>1682</v>
      </c>
      <c r="E4" s="21">
        <v>1564</v>
      </c>
      <c r="F4" s="21">
        <v>1409</v>
      </c>
      <c r="G4" s="13">
        <v>614</v>
      </c>
      <c r="H4" s="13">
        <v>614</v>
      </c>
      <c r="I4" s="13">
        <v>727</v>
      </c>
      <c r="J4" s="13">
        <v>630</v>
      </c>
      <c r="K4" s="13">
        <v>659</v>
      </c>
      <c r="L4" s="13">
        <v>1752</v>
      </c>
      <c r="M4" s="13">
        <v>1355</v>
      </c>
      <c r="N4" s="13">
        <v>540</v>
      </c>
      <c r="O4" s="13">
        <v>547</v>
      </c>
      <c r="P4" s="13">
        <v>572</v>
      </c>
      <c r="Q4" s="13">
        <v>450</v>
      </c>
      <c r="R4" s="13">
        <v>676</v>
      </c>
      <c r="S4" s="13">
        <v>1741</v>
      </c>
      <c r="T4" s="13">
        <v>1210</v>
      </c>
      <c r="U4" s="13">
        <v>649</v>
      </c>
      <c r="V4" s="13">
        <v>491</v>
      </c>
      <c r="W4" s="13">
        <v>694</v>
      </c>
      <c r="X4" s="13">
        <v>558</v>
      </c>
      <c r="Y4" s="13">
        <v>765</v>
      </c>
      <c r="Z4" s="13">
        <v>1617</v>
      </c>
      <c r="AA4" s="13">
        <v>1241</v>
      </c>
      <c r="AB4" s="13">
        <v>480</v>
      </c>
      <c r="AC4" s="13">
        <v>566</v>
      </c>
      <c r="AD4" s="13">
        <v>616</v>
      </c>
      <c r="AE4" s="13">
        <v>549</v>
      </c>
      <c r="AF4" s="13">
        <v>740</v>
      </c>
      <c r="AG4" s="13">
        <v>1556</v>
      </c>
      <c r="AH4" s="13">
        <v>1267</v>
      </c>
      <c r="AI4" s="13">
        <v>719</v>
      </c>
      <c r="AJ4" s="13">
        <v>500</v>
      </c>
      <c r="AK4" s="13">
        <v>715</v>
      </c>
      <c r="AL4" s="13">
        <v>606</v>
      </c>
      <c r="AM4" s="13">
        <v>985</v>
      </c>
      <c r="AN4" s="13">
        <v>1776</v>
      </c>
      <c r="AO4" s="13">
        <v>1300</v>
      </c>
      <c r="AP4" s="13">
        <v>617</v>
      </c>
      <c r="AQ4" s="13">
        <v>579</v>
      </c>
      <c r="AR4" s="13">
        <v>697</v>
      </c>
      <c r="AS4" s="13">
        <v>561</v>
      </c>
      <c r="AT4" s="13">
        <v>755</v>
      </c>
      <c r="AU4" s="13">
        <v>1461</v>
      </c>
      <c r="AV4" s="13">
        <v>989</v>
      </c>
      <c r="AW4" s="13">
        <v>512</v>
      </c>
      <c r="AX4" s="13">
        <v>435</v>
      </c>
      <c r="AY4" s="13">
        <v>435</v>
      </c>
      <c r="AZ4" s="13">
        <v>374</v>
      </c>
      <c r="BA4" s="13">
        <v>410</v>
      </c>
      <c r="BB4" s="13">
        <v>764</v>
      </c>
      <c r="BC4" s="13">
        <v>650</v>
      </c>
      <c r="BD4" s="13">
        <v>346</v>
      </c>
      <c r="BE4" s="13">
        <v>240</v>
      </c>
      <c r="BF4" s="13">
        <v>221</v>
      </c>
      <c r="BG4" s="13">
        <v>301</v>
      </c>
      <c r="BH4" s="13">
        <v>383</v>
      </c>
      <c r="BI4" s="13">
        <v>534</v>
      </c>
      <c r="BJ4" s="13">
        <v>412</v>
      </c>
      <c r="BK4" s="13">
        <v>217</v>
      </c>
      <c r="BL4" s="13">
        <v>167</v>
      </c>
      <c r="BM4" s="13">
        <v>187</v>
      </c>
      <c r="BN4" s="13">
        <v>180</v>
      </c>
      <c r="BO4" s="13">
        <v>246</v>
      </c>
      <c r="BP4" s="13">
        <v>439</v>
      </c>
      <c r="BQ4" s="13">
        <v>248</v>
      </c>
      <c r="BR4" s="13">
        <v>151</v>
      </c>
      <c r="BS4" s="13">
        <v>173</v>
      </c>
      <c r="BT4" s="13">
        <v>129</v>
      </c>
      <c r="BU4" s="13">
        <v>156</v>
      </c>
      <c r="BV4" s="13">
        <v>211</v>
      </c>
      <c r="BW4" s="13">
        <v>278</v>
      </c>
      <c r="BX4" s="13">
        <v>291</v>
      </c>
      <c r="BY4" s="13">
        <v>195</v>
      </c>
      <c r="BZ4" s="13">
        <v>172</v>
      </c>
      <c r="CA4" s="13">
        <v>164</v>
      </c>
      <c r="CB4" s="13">
        <v>247</v>
      </c>
      <c r="CC4" s="13">
        <v>415</v>
      </c>
      <c r="CD4" s="13">
        <v>250</v>
      </c>
      <c r="CE4" s="13">
        <v>263</v>
      </c>
      <c r="CF4" s="13">
        <v>219</v>
      </c>
      <c r="CG4" s="13">
        <v>252</v>
      </c>
      <c r="CH4" s="13">
        <v>278</v>
      </c>
      <c r="CI4" s="13">
        <v>293</v>
      </c>
      <c r="CJ4" s="13">
        <v>0</v>
      </c>
      <c r="CK4" s="13">
        <v>563</v>
      </c>
      <c r="CL4" s="13">
        <v>427</v>
      </c>
      <c r="CM4" s="13">
        <v>158</v>
      </c>
      <c r="CN4" s="13">
        <v>176</v>
      </c>
      <c r="CO4" s="13">
        <v>178</v>
      </c>
      <c r="CP4" s="13">
        <v>169</v>
      </c>
      <c r="CQ4" s="13">
        <v>220</v>
      </c>
      <c r="CR4" s="13">
        <v>676</v>
      </c>
      <c r="CS4" s="13">
        <v>588</v>
      </c>
      <c r="CT4" s="13">
        <v>268</v>
      </c>
      <c r="CU4" s="13">
        <v>300</v>
      </c>
      <c r="CV4" s="13">
        <v>289</v>
      </c>
      <c r="CW4" s="13">
        <v>409</v>
      </c>
      <c r="CX4" s="13">
        <v>399</v>
      </c>
      <c r="CY4" s="13">
        <v>1151</v>
      </c>
      <c r="CZ4" s="13">
        <v>834</v>
      </c>
      <c r="DA4" s="13">
        <v>293</v>
      </c>
      <c r="DB4" s="13">
        <v>420</v>
      </c>
      <c r="DC4" s="13">
        <v>527</v>
      </c>
      <c r="DD4" s="13">
        <v>473</v>
      </c>
      <c r="DE4" s="13">
        <v>712</v>
      </c>
      <c r="DF4" s="13">
        <v>1369</v>
      </c>
      <c r="DG4" s="13">
        <v>1223</v>
      </c>
      <c r="DH4" s="13">
        <v>751</v>
      </c>
      <c r="DI4" s="13">
        <v>690</v>
      </c>
      <c r="DJ4" s="13">
        <v>960</v>
      </c>
      <c r="DK4" s="13">
        <v>637</v>
      </c>
      <c r="DL4" s="13">
        <v>965</v>
      </c>
      <c r="DM4" s="13">
        <v>1879</v>
      </c>
      <c r="DN4" s="13">
        <v>1832</v>
      </c>
      <c r="DO4" s="13">
        <v>1042</v>
      </c>
      <c r="DP4" s="13">
        <v>1091</v>
      </c>
      <c r="DQ4" s="13">
        <v>1156</v>
      </c>
      <c r="DR4" s="13">
        <v>1170</v>
      </c>
      <c r="DS4" s="13">
        <v>1393</v>
      </c>
      <c r="DT4" s="13">
        <v>2534</v>
      </c>
      <c r="DU4" s="13">
        <v>2391</v>
      </c>
      <c r="DV4" s="13">
        <v>642</v>
      </c>
      <c r="DW4" s="13">
        <v>694</v>
      </c>
      <c r="DX4" s="13">
        <v>783</v>
      </c>
      <c r="DY4">
        <v>0</v>
      </c>
      <c r="DZ4">
        <v>0</v>
      </c>
      <c r="EA4">
        <v>1939</v>
      </c>
      <c r="EB4">
        <v>1652</v>
      </c>
      <c r="EC4">
        <v>861</v>
      </c>
      <c r="ED4">
        <v>910</v>
      </c>
      <c r="EE4">
        <v>1057</v>
      </c>
      <c r="EF4">
        <v>1493</v>
      </c>
      <c r="EG4">
        <v>2014</v>
      </c>
      <c r="EH4">
        <v>3306</v>
      </c>
    </row>
    <row r="5" spans="1:138" x14ac:dyDescent="0.25">
      <c r="B5" s="14" t="s">
        <v>5</v>
      </c>
      <c r="C5" s="13">
        <v>158</v>
      </c>
      <c r="D5" s="13">
        <v>265</v>
      </c>
      <c r="E5" s="13">
        <v>151</v>
      </c>
      <c r="F5" s="13">
        <v>0</v>
      </c>
      <c r="G5" s="13">
        <v>70</v>
      </c>
      <c r="H5" s="13">
        <v>69</v>
      </c>
      <c r="I5" s="13">
        <v>132</v>
      </c>
      <c r="J5" s="13">
        <v>96</v>
      </c>
      <c r="K5" s="13">
        <v>254</v>
      </c>
      <c r="L5" s="13">
        <v>164</v>
      </c>
      <c r="M5" s="13">
        <v>106</v>
      </c>
      <c r="N5" s="13">
        <v>54</v>
      </c>
      <c r="O5" s="13">
        <v>90</v>
      </c>
      <c r="P5" s="13">
        <v>104</v>
      </c>
      <c r="Q5" s="13">
        <v>99</v>
      </c>
      <c r="R5" s="13">
        <v>281</v>
      </c>
      <c r="S5" s="13">
        <v>236</v>
      </c>
      <c r="T5" s="13">
        <v>105</v>
      </c>
      <c r="U5" s="13">
        <v>93</v>
      </c>
      <c r="V5" s="13">
        <v>217</v>
      </c>
      <c r="W5" s="13">
        <v>121</v>
      </c>
      <c r="X5" s="13">
        <v>76</v>
      </c>
      <c r="Y5" s="13">
        <v>283</v>
      </c>
      <c r="Z5" s="13">
        <v>229</v>
      </c>
      <c r="AA5" s="13">
        <v>80</v>
      </c>
      <c r="AB5" s="13">
        <v>56</v>
      </c>
      <c r="AC5" s="13">
        <v>55</v>
      </c>
      <c r="AD5" s="13">
        <v>61</v>
      </c>
      <c r="AE5" s="13">
        <v>86</v>
      </c>
      <c r="AF5" s="13">
        <v>283</v>
      </c>
      <c r="AG5" s="13">
        <v>281</v>
      </c>
      <c r="AH5" s="13">
        <v>60</v>
      </c>
      <c r="AI5" s="13">
        <v>83</v>
      </c>
      <c r="AJ5" s="13">
        <v>248</v>
      </c>
      <c r="AK5" s="13">
        <v>65</v>
      </c>
      <c r="AL5" s="13">
        <v>192</v>
      </c>
      <c r="AM5" s="13">
        <v>354</v>
      </c>
      <c r="AN5" s="13">
        <v>224</v>
      </c>
      <c r="AO5" s="13">
        <v>0</v>
      </c>
      <c r="AP5" s="13">
        <v>99</v>
      </c>
      <c r="AQ5" s="13">
        <v>105</v>
      </c>
      <c r="AR5" s="13">
        <v>51</v>
      </c>
      <c r="AS5" s="13">
        <v>76</v>
      </c>
      <c r="AT5" s="13">
        <v>251</v>
      </c>
      <c r="AU5" s="13">
        <v>158</v>
      </c>
      <c r="AV5" s="13">
        <v>51</v>
      </c>
      <c r="AW5" s="13">
        <v>32</v>
      </c>
      <c r="AX5" s="13">
        <v>36</v>
      </c>
      <c r="AY5" s="13">
        <v>57</v>
      </c>
      <c r="AZ5" s="13">
        <v>68</v>
      </c>
      <c r="BA5" s="13">
        <v>245</v>
      </c>
      <c r="BB5" s="13">
        <v>158</v>
      </c>
      <c r="BC5" s="13">
        <v>64</v>
      </c>
      <c r="BD5" s="13">
        <v>89</v>
      </c>
      <c r="BE5" s="13">
        <v>77</v>
      </c>
      <c r="BF5" s="13">
        <v>84</v>
      </c>
      <c r="BG5" s="13">
        <v>82</v>
      </c>
      <c r="BH5" s="13">
        <v>313</v>
      </c>
      <c r="BI5" s="13">
        <v>174</v>
      </c>
      <c r="BJ5" s="13">
        <v>0</v>
      </c>
      <c r="BK5" s="13">
        <v>69</v>
      </c>
      <c r="BL5" s="13">
        <v>62</v>
      </c>
      <c r="BM5" s="13">
        <v>115</v>
      </c>
      <c r="BN5" s="13">
        <v>130</v>
      </c>
      <c r="BO5" s="13">
        <v>337</v>
      </c>
      <c r="BP5" s="13">
        <v>214</v>
      </c>
      <c r="BQ5" s="13">
        <v>141</v>
      </c>
      <c r="BR5" s="13">
        <v>82</v>
      </c>
      <c r="BS5" s="13">
        <v>79</v>
      </c>
      <c r="BT5" s="13">
        <v>146</v>
      </c>
      <c r="BU5" s="13">
        <v>132</v>
      </c>
      <c r="BV5" s="13">
        <v>543</v>
      </c>
      <c r="BW5" s="13">
        <v>353</v>
      </c>
      <c r="BX5" s="13">
        <v>150</v>
      </c>
      <c r="BY5" s="13">
        <v>87</v>
      </c>
      <c r="BZ5" s="13">
        <v>241</v>
      </c>
      <c r="CA5" s="13">
        <v>238</v>
      </c>
      <c r="CB5" s="13">
        <v>251</v>
      </c>
      <c r="CC5" s="13">
        <v>656</v>
      </c>
      <c r="CD5" s="13">
        <v>473</v>
      </c>
      <c r="CE5" s="13">
        <v>220</v>
      </c>
      <c r="CF5" s="13">
        <v>256</v>
      </c>
      <c r="CG5" s="13">
        <v>216</v>
      </c>
      <c r="CH5" s="13">
        <v>338</v>
      </c>
      <c r="CI5" s="13">
        <v>354</v>
      </c>
      <c r="CJ5" s="13">
        <v>760</v>
      </c>
      <c r="CK5" s="13">
        <v>639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 t="s">
        <v>8</v>
      </c>
      <c r="DG5" s="13" t="s">
        <v>8</v>
      </c>
      <c r="DH5" s="13" t="s">
        <v>8</v>
      </c>
      <c r="DI5" s="13" t="s">
        <v>8</v>
      </c>
      <c r="DJ5" s="13" t="s">
        <v>8</v>
      </c>
      <c r="DK5" s="13" t="s">
        <v>8</v>
      </c>
      <c r="DL5" s="13" t="s">
        <v>8</v>
      </c>
      <c r="DM5" s="13" t="s">
        <v>8</v>
      </c>
      <c r="DN5" s="13" t="s">
        <v>8</v>
      </c>
      <c r="DO5" s="13" t="s">
        <v>8</v>
      </c>
      <c r="DP5" s="13" t="s">
        <v>8</v>
      </c>
      <c r="DQ5" s="13" t="s">
        <v>8</v>
      </c>
      <c r="DR5" s="13" t="s">
        <v>8</v>
      </c>
      <c r="DS5" s="13" t="s">
        <v>8</v>
      </c>
      <c r="DT5" s="13" t="s">
        <v>8</v>
      </c>
      <c r="DU5" s="13" t="s">
        <v>8</v>
      </c>
      <c r="DV5" s="13" t="s">
        <v>8</v>
      </c>
      <c r="DW5" s="13" t="s">
        <v>8</v>
      </c>
      <c r="DX5" s="13" t="s">
        <v>8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</row>
    <row r="6" spans="1:138" x14ac:dyDescent="0.25">
      <c r="B6" s="14" t="s">
        <v>4</v>
      </c>
      <c r="C6" s="13">
        <v>89</v>
      </c>
      <c r="D6" s="13">
        <v>98</v>
      </c>
      <c r="E6" s="13">
        <v>188</v>
      </c>
      <c r="F6" s="13">
        <v>158</v>
      </c>
      <c r="G6" s="13">
        <v>181</v>
      </c>
      <c r="H6" s="13">
        <v>36</v>
      </c>
      <c r="I6" s="13">
        <v>60</v>
      </c>
      <c r="J6" s="13">
        <v>73</v>
      </c>
      <c r="K6" s="13">
        <v>110</v>
      </c>
      <c r="L6" s="13">
        <v>344</v>
      </c>
      <c r="M6" s="13">
        <v>356</v>
      </c>
      <c r="N6" s="13">
        <v>225</v>
      </c>
      <c r="O6" s="13">
        <v>38</v>
      </c>
      <c r="P6" s="13">
        <v>72</v>
      </c>
      <c r="Q6" s="13">
        <v>44</v>
      </c>
      <c r="R6" s="13">
        <v>82</v>
      </c>
      <c r="S6" s="13">
        <v>331</v>
      </c>
      <c r="T6" s="13">
        <v>265</v>
      </c>
      <c r="U6" s="13">
        <v>0</v>
      </c>
      <c r="V6" s="13">
        <v>60</v>
      </c>
      <c r="W6" s="13">
        <v>65</v>
      </c>
      <c r="X6" s="13">
        <v>64</v>
      </c>
      <c r="Y6" s="13">
        <v>110</v>
      </c>
      <c r="Z6" s="13">
        <v>320</v>
      </c>
      <c r="AA6" s="13">
        <v>280</v>
      </c>
      <c r="AB6" s="13">
        <v>78</v>
      </c>
      <c r="AC6" s="13">
        <v>54</v>
      </c>
      <c r="AD6" s="13">
        <v>176</v>
      </c>
      <c r="AE6" s="13">
        <v>55</v>
      </c>
      <c r="AF6" s="13">
        <v>134</v>
      </c>
      <c r="AG6" s="13">
        <v>349</v>
      </c>
      <c r="AH6" s="13">
        <v>407</v>
      </c>
      <c r="AI6" s="13">
        <v>60</v>
      </c>
      <c r="AJ6" s="13">
        <v>61</v>
      </c>
      <c r="AK6" s="13">
        <v>96</v>
      </c>
      <c r="AL6" s="13">
        <v>85</v>
      </c>
      <c r="AM6" s="13">
        <v>155</v>
      </c>
      <c r="AN6" s="13">
        <v>372</v>
      </c>
      <c r="AO6" s="13">
        <v>355</v>
      </c>
      <c r="AP6" s="13">
        <v>0</v>
      </c>
      <c r="AQ6" s="13">
        <v>106</v>
      </c>
      <c r="AR6" s="13">
        <v>157</v>
      </c>
      <c r="AS6" s="13">
        <v>133</v>
      </c>
      <c r="AT6" s="13">
        <v>177</v>
      </c>
      <c r="AU6" s="13">
        <v>465</v>
      </c>
      <c r="AV6" s="13">
        <v>361</v>
      </c>
      <c r="AW6" s="13">
        <v>123</v>
      </c>
      <c r="AX6" s="13">
        <v>121</v>
      </c>
      <c r="AY6" s="13">
        <v>118</v>
      </c>
      <c r="AZ6" s="13">
        <v>127</v>
      </c>
      <c r="BA6" s="13">
        <v>244</v>
      </c>
      <c r="BB6" s="13">
        <v>569</v>
      </c>
      <c r="BC6" s="13">
        <v>527</v>
      </c>
      <c r="BD6" s="13">
        <v>124</v>
      </c>
      <c r="BE6" s="13">
        <v>202</v>
      </c>
      <c r="BF6" s="13">
        <v>252</v>
      </c>
      <c r="BG6" s="13">
        <v>122</v>
      </c>
      <c r="BH6" s="13">
        <v>243</v>
      </c>
      <c r="BI6" s="13">
        <v>561</v>
      </c>
      <c r="BJ6" s="13">
        <v>515</v>
      </c>
      <c r="BK6" s="13">
        <v>179</v>
      </c>
      <c r="BL6" s="13">
        <v>169</v>
      </c>
      <c r="BM6" s="13">
        <v>216</v>
      </c>
      <c r="BN6" s="13">
        <v>109</v>
      </c>
      <c r="BO6" s="13">
        <v>152</v>
      </c>
      <c r="BP6" s="13">
        <v>493</v>
      </c>
      <c r="BQ6" s="13">
        <v>388</v>
      </c>
      <c r="BR6" s="13">
        <v>108</v>
      </c>
      <c r="BS6" s="13">
        <v>92</v>
      </c>
      <c r="BT6" s="13">
        <v>70</v>
      </c>
      <c r="BU6" s="13">
        <v>100</v>
      </c>
      <c r="BV6" s="13">
        <v>134</v>
      </c>
      <c r="BW6" s="13">
        <v>316</v>
      </c>
      <c r="BX6" s="13">
        <v>302</v>
      </c>
      <c r="BY6" s="13">
        <v>96</v>
      </c>
      <c r="BZ6" s="13">
        <v>63</v>
      </c>
      <c r="CA6" s="13">
        <v>102</v>
      </c>
      <c r="CB6" s="13">
        <v>133</v>
      </c>
      <c r="CC6" s="13">
        <v>119</v>
      </c>
      <c r="CD6" s="13">
        <v>358</v>
      </c>
      <c r="CE6" s="13">
        <v>376</v>
      </c>
      <c r="CF6" s="13">
        <v>130</v>
      </c>
      <c r="CG6" s="13">
        <v>166</v>
      </c>
      <c r="CH6" s="13">
        <v>201</v>
      </c>
      <c r="CI6" s="13">
        <v>185</v>
      </c>
      <c r="CJ6" s="13">
        <v>257</v>
      </c>
      <c r="CK6" s="13">
        <v>578</v>
      </c>
      <c r="CL6" s="13">
        <v>432</v>
      </c>
      <c r="CM6" s="13">
        <v>305</v>
      </c>
      <c r="CN6" s="13">
        <v>332</v>
      </c>
      <c r="CO6" s="13">
        <v>633</v>
      </c>
      <c r="CP6" s="13">
        <v>503</v>
      </c>
      <c r="CQ6" s="13">
        <v>539</v>
      </c>
      <c r="CR6" s="13">
        <v>0</v>
      </c>
      <c r="CS6" s="13">
        <v>1215</v>
      </c>
      <c r="CT6" s="13">
        <v>121</v>
      </c>
      <c r="CU6" s="13">
        <v>239</v>
      </c>
      <c r="CV6" s="13">
        <v>390</v>
      </c>
      <c r="CW6" s="13">
        <v>400</v>
      </c>
      <c r="CX6" s="13">
        <v>493</v>
      </c>
      <c r="CY6" s="13">
        <v>1009</v>
      </c>
      <c r="CZ6" s="13">
        <v>1089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0</v>
      </c>
      <c r="DG6" s="13">
        <v>0</v>
      </c>
      <c r="DH6" s="13">
        <v>0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25">
      <c r="B7" s="14" t="s">
        <v>10</v>
      </c>
      <c r="C7" s="13">
        <v>285</v>
      </c>
      <c r="D7" s="13">
        <v>356</v>
      </c>
      <c r="E7" s="13">
        <v>130</v>
      </c>
      <c r="F7" s="13">
        <v>107</v>
      </c>
      <c r="G7" s="13">
        <v>143</v>
      </c>
      <c r="H7" s="13">
        <v>509</v>
      </c>
      <c r="I7" s="13">
        <v>390</v>
      </c>
      <c r="J7" s="13">
        <v>0</v>
      </c>
      <c r="K7" s="13">
        <v>129</v>
      </c>
      <c r="L7" s="13">
        <v>469</v>
      </c>
      <c r="M7" s="13">
        <v>135</v>
      </c>
      <c r="N7" s="13">
        <v>181</v>
      </c>
      <c r="O7" s="13">
        <v>569</v>
      </c>
      <c r="P7" s="13">
        <v>470</v>
      </c>
      <c r="Q7" s="13">
        <v>131</v>
      </c>
      <c r="R7" s="13">
        <v>137</v>
      </c>
      <c r="S7" s="13">
        <v>174</v>
      </c>
      <c r="T7" s="13">
        <v>119</v>
      </c>
      <c r="U7" s="13">
        <v>230</v>
      </c>
      <c r="V7" s="13">
        <v>661</v>
      </c>
      <c r="W7" s="13">
        <v>559</v>
      </c>
      <c r="X7" s="13">
        <v>202</v>
      </c>
      <c r="Y7" s="13">
        <v>184</v>
      </c>
      <c r="Z7" s="13">
        <v>128</v>
      </c>
      <c r="AA7" s="13">
        <v>160</v>
      </c>
      <c r="AB7" s="13">
        <v>203</v>
      </c>
      <c r="AC7" s="13">
        <v>841</v>
      </c>
      <c r="AD7" s="13">
        <v>701</v>
      </c>
      <c r="AE7" s="13">
        <v>250</v>
      </c>
      <c r="AF7" s="13">
        <v>240</v>
      </c>
      <c r="AG7" s="13">
        <v>419</v>
      </c>
      <c r="AH7" s="13">
        <v>457</v>
      </c>
      <c r="AI7" s="13">
        <v>210</v>
      </c>
      <c r="AJ7" s="13">
        <v>558</v>
      </c>
      <c r="AK7" s="13">
        <v>423</v>
      </c>
      <c r="AL7" s="13">
        <v>160</v>
      </c>
      <c r="AM7" s="13">
        <v>194</v>
      </c>
      <c r="AN7" s="13">
        <v>163</v>
      </c>
      <c r="AO7" s="13">
        <v>182</v>
      </c>
      <c r="AP7" s="13">
        <v>274</v>
      </c>
      <c r="AQ7" s="13">
        <v>656</v>
      </c>
      <c r="AR7" s="13">
        <v>406</v>
      </c>
      <c r="AS7" s="13">
        <v>173</v>
      </c>
      <c r="AT7" s="13">
        <v>170</v>
      </c>
      <c r="AU7" s="13">
        <v>138</v>
      </c>
      <c r="AV7" s="13">
        <v>157</v>
      </c>
      <c r="AW7" s="13">
        <v>189</v>
      </c>
      <c r="AX7" s="13">
        <v>466</v>
      </c>
      <c r="AY7" s="13">
        <v>324</v>
      </c>
      <c r="AZ7" s="13">
        <v>0</v>
      </c>
      <c r="BA7" s="13">
        <v>112</v>
      </c>
      <c r="BB7" s="13">
        <v>126</v>
      </c>
      <c r="BC7" s="13">
        <v>115</v>
      </c>
      <c r="BD7" s="13">
        <v>154</v>
      </c>
      <c r="BE7" s="13">
        <v>476</v>
      </c>
      <c r="BF7" s="13">
        <v>264</v>
      </c>
      <c r="BG7" s="13">
        <v>174</v>
      </c>
      <c r="BH7" s="13">
        <v>124</v>
      </c>
      <c r="BI7" s="13">
        <v>309</v>
      </c>
      <c r="BJ7" s="13">
        <v>228</v>
      </c>
      <c r="BK7" s="13">
        <v>289</v>
      </c>
      <c r="BL7" s="13">
        <v>564</v>
      </c>
      <c r="BM7" s="13">
        <v>327</v>
      </c>
      <c r="BN7" s="13">
        <v>131</v>
      </c>
      <c r="BO7" s="13">
        <v>149</v>
      </c>
      <c r="BP7" s="13">
        <v>80</v>
      </c>
      <c r="BQ7" s="13">
        <v>317</v>
      </c>
      <c r="BR7" s="13">
        <v>258</v>
      </c>
      <c r="BS7" s="13">
        <v>455</v>
      </c>
      <c r="BT7" s="13">
        <v>300</v>
      </c>
      <c r="BU7" s="13">
        <v>114</v>
      </c>
      <c r="BV7" s="13">
        <v>106</v>
      </c>
      <c r="BW7" s="13">
        <v>94</v>
      </c>
      <c r="BX7" s="13">
        <v>111</v>
      </c>
      <c r="BY7" s="13">
        <v>108</v>
      </c>
      <c r="BZ7" s="13">
        <v>604</v>
      </c>
      <c r="CA7" s="13">
        <v>456</v>
      </c>
      <c r="CB7" s="13">
        <v>127</v>
      </c>
      <c r="CC7" s="13">
        <v>130</v>
      </c>
      <c r="CD7" s="13">
        <v>123</v>
      </c>
      <c r="CE7" s="13">
        <v>128</v>
      </c>
      <c r="CF7" s="13">
        <v>219</v>
      </c>
      <c r="CG7" s="13">
        <v>665</v>
      </c>
      <c r="CH7" s="13">
        <v>528</v>
      </c>
      <c r="CI7" s="13">
        <v>0</v>
      </c>
      <c r="CJ7" s="13">
        <v>114</v>
      </c>
      <c r="CK7" s="13">
        <v>275</v>
      </c>
      <c r="CL7" s="13">
        <v>181</v>
      </c>
      <c r="CM7" s="13">
        <v>298</v>
      </c>
      <c r="CN7" s="13">
        <v>690</v>
      </c>
      <c r="CO7" s="13">
        <v>660</v>
      </c>
      <c r="CP7" s="13">
        <v>242</v>
      </c>
      <c r="CQ7" s="13">
        <v>285</v>
      </c>
      <c r="CR7" s="13">
        <v>718</v>
      </c>
      <c r="CS7" s="13">
        <v>240</v>
      </c>
      <c r="CT7" s="13">
        <v>403</v>
      </c>
      <c r="CU7" s="13">
        <v>858</v>
      </c>
      <c r="CV7" s="13">
        <v>784</v>
      </c>
      <c r="CW7" s="13">
        <v>1132</v>
      </c>
      <c r="CX7" s="13">
        <v>0</v>
      </c>
      <c r="CY7" s="13">
        <v>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0</v>
      </c>
      <c r="DF7" s="13">
        <v>0</v>
      </c>
      <c r="DG7" s="13">
        <v>0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</row>
    <row r="8" spans="1:138" x14ac:dyDescent="0.25">
      <c r="B8" s="14" t="s">
        <v>11</v>
      </c>
      <c r="C8" s="13">
        <v>342</v>
      </c>
      <c r="D8" s="13">
        <v>453</v>
      </c>
      <c r="E8" s="13">
        <v>338</v>
      </c>
      <c r="F8" s="13">
        <v>212</v>
      </c>
      <c r="G8" s="13">
        <v>211</v>
      </c>
      <c r="H8" s="13">
        <v>302</v>
      </c>
      <c r="I8" s="13">
        <v>232</v>
      </c>
      <c r="J8" s="13">
        <v>240</v>
      </c>
      <c r="K8" s="13">
        <v>489</v>
      </c>
      <c r="L8" s="13">
        <v>417</v>
      </c>
      <c r="M8" s="13">
        <v>230</v>
      </c>
      <c r="N8" s="13">
        <v>146</v>
      </c>
      <c r="O8" s="13">
        <v>226</v>
      </c>
      <c r="P8" s="13">
        <v>181</v>
      </c>
      <c r="Q8" s="13">
        <v>221</v>
      </c>
      <c r="R8" s="13">
        <v>453</v>
      </c>
      <c r="S8" s="13">
        <v>438</v>
      </c>
      <c r="T8" s="13">
        <v>474</v>
      </c>
      <c r="U8" s="13">
        <v>215</v>
      </c>
      <c r="V8" s="13">
        <v>155</v>
      </c>
      <c r="W8" s="13">
        <v>183</v>
      </c>
      <c r="X8" s="13">
        <v>226</v>
      </c>
      <c r="Y8" s="13">
        <v>507</v>
      </c>
      <c r="Z8" s="13">
        <v>395</v>
      </c>
      <c r="AA8" s="13">
        <v>30</v>
      </c>
      <c r="AB8" s="13">
        <v>210</v>
      </c>
      <c r="AC8" s="13">
        <v>194</v>
      </c>
      <c r="AD8" s="13">
        <v>212</v>
      </c>
      <c r="AE8" s="13">
        <v>296</v>
      </c>
      <c r="AF8" s="13">
        <v>602</v>
      </c>
      <c r="AG8" s="13">
        <v>577</v>
      </c>
      <c r="AH8" s="13">
        <v>254</v>
      </c>
      <c r="AI8" s="13">
        <v>212</v>
      </c>
      <c r="AJ8" s="13">
        <v>349</v>
      </c>
      <c r="AK8" s="13">
        <v>87</v>
      </c>
      <c r="AL8" s="13">
        <v>163</v>
      </c>
      <c r="AM8" s="13">
        <v>373</v>
      </c>
      <c r="AN8" s="13">
        <v>275</v>
      </c>
      <c r="AO8" s="13">
        <v>96</v>
      </c>
      <c r="AP8" s="13">
        <v>76</v>
      </c>
      <c r="AQ8" s="13">
        <v>138</v>
      </c>
      <c r="AR8" s="13">
        <v>127</v>
      </c>
      <c r="AS8" s="13">
        <v>0</v>
      </c>
      <c r="AT8" s="13">
        <v>0</v>
      </c>
      <c r="AU8" s="13">
        <v>295</v>
      </c>
      <c r="AV8" s="13">
        <v>327</v>
      </c>
      <c r="AW8" s="13">
        <v>77</v>
      </c>
      <c r="AX8" s="13">
        <v>79</v>
      </c>
      <c r="AY8" s="13">
        <v>198</v>
      </c>
      <c r="AZ8" s="13">
        <v>234</v>
      </c>
      <c r="BA8" s="13">
        <v>317</v>
      </c>
      <c r="BB8" s="13">
        <v>280</v>
      </c>
      <c r="BC8" s="13">
        <v>125</v>
      </c>
      <c r="BD8" s="13">
        <v>104</v>
      </c>
      <c r="BE8" s="13">
        <v>120</v>
      </c>
      <c r="BF8" s="13">
        <v>86</v>
      </c>
      <c r="BG8" s="13">
        <v>147</v>
      </c>
      <c r="BH8" s="13">
        <v>348</v>
      </c>
      <c r="BI8" s="13">
        <v>262</v>
      </c>
      <c r="BJ8" s="13">
        <v>99</v>
      </c>
      <c r="BK8" s="13">
        <v>87</v>
      </c>
      <c r="BL8" s="13">
        <v>169</v>
      </c>
      <c r="BM8" s="13">
        <v>73</v>
      </c>
      <c r="BN8" s="13">
        <v>136</v>
      </c>
      <c r="BO8" s="13">
        <v>400</v>
      </c>
      <c r="BP8" s="13">
        <v>439</v>
      </c>
      <c r="BQ8" s="13">
        <v>355</v>
      </c>
      <c r="BR8" s="13">
        <v>61</v>
      </c>
      <c r="BS8" s="13">
        <v>78</v>
      </c>
      <c r="BT8" s="13">
        <v>92</v>
      </c>
      <c r="BU8" s="13">
        <v>134</v>
      </c>
      <c r="BV8" s="13">
        <v>450</v>
      </c>
      <c r="BW8" s="13">
        <v>510</v>
      </c>
      <c r="BX8" s="13">
        <v>372</v>
      </c>
      <c r="BY8" s="13">
        <v>82</v>
      </c>
      <c r="BZ8" s="13">
        <v>124</v>
      </c>
      <c r="CA8" s="13">
        <v>70</v>
      </c>
      <c r="CB8" s="13">
        <v>192</v>
      </c>
      <c r="CC8" s="13">
        <v>524</v>
      </c>
      <c r="CD8" s="13">
        <v>445</v>
      </c>
      <c r="CE8" s="13">
        <v>0</v>
      </c>
      <c r="CF8" s="13">
        <v>194</v>
      </c>
      <c r="CG8" s="13">
        <v>91</v>
      </c>
      <c r="CH8" s="13">
        <v>110</v>
      </c>
      <c r="CI8" s="13">
        <v>124</v>
      </c>
      <c r="CJ8" s="13">
        <v>394</v>
      </c>
      <c r="CK8" s="13">
        <v>469</v>
      </c>
      <c r="CL8" s="13">
        <v>110</v>
      </c>
      <c r="CM8" s="13">
        <v>112</v>
      </c>
      <c r="CN8" s="13">
        <v>192</v>
      </c>
      <c r="CO8" s="13">
        <v>134</v>
      </c>
      <c r="CP8" s="13">
        <v>277</v>
      </c>
      <c r="CQ8" s="13">
        <v>457</v>
      </c>
      <c r="CR8" s="13">
        <v>402</v>
      </c>
      <c r="CS8" s="13">
        <v>168</v>
      </c>
      <c r="CT8" s="13">
        <v>164</v>
      </c>
      <c r="CU8" s="13">
        <v>241</v>
      </c>
      <c r="CV8" s="13">
        <v>212</v>
      </c>
      <c r="CW8" s="13">
        <v>278</v>
      </c>
      <c r="CX8" s="13">
        <v>799</v>
      </c>
      <c r="CY8" s="13">
        <v>816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</row>
    <row r="9" spans="1:138" x14ac:dyDescent="0.25">
      <c r="B9" s="14" t="s">
        <v>12</v>
      </c>
      <c r="C9" s="13">
        <v>1532</v>
      </c>
      <c r="D9" s="13">
        <v>1116</v>
      </c>
      <c r="E9" s="13">
        <v>632</v>
      </c>
      <c r="F9" s="13">
        <v>575</v>
      </c>
      <c r="G9" s="13">
        <v>573</v>
      </c>
      <c r="H9" s="13">
        <v>610</v>
      </c>
      <c r="I9" s="13">
        <v>747</v>
      </c>
      <c r="J9" s="13">
        <v>787</v>
      </c>
      <c r="K9" s="13">
        <v>0</v>
      </c>
      <c r="L9" s="13">
        <v>349</v>
      </c>
      <c r="M9" s="13">
        <v>367</v>
      </c>
      <c r="N9" s="13">
        <v>302</v>
      </c>
      <c r="O9" s="13">
        <v>339</v>
      </c>
      <c r="P9" s="13">
        <v>415</v>
      </c>
      <c r="Q9" s="13">
        <v>1098</v>
      </c>
      <c r="R9" s="13">
        <v>959</v>
      </c>
      <c r="S9" s="13">
        <v>395</v>
      </c>
      <c r="T9" s="13">
        <v>350</v>
      </c>
      <c r="U9" s="13">
        <v>424</v>
      </c>
      <c r="V9" s="13">
        <v>407</v>
      </c>
      <c r="W9" s="13">
        <v>462</v>
      </c>
      <c r="X9" s="13">
        <v>1337</v>
      </c>
      <c r="Y9" s="13">
        <v>928</v>
      </c>
      <c r="Z9" s="13">
        <v>420</v>
      </c>
      <c r="AA9" s="13">
        <v>382</v>
      </c>
      <c r="AB9" s="13">
        <v>365</v>
      </c>
      <c r="AC9" s="13">
        <v>319</v>
      </c>
      <c r="AD9" s="13">
        <v>510</v>
      </c>
      <c r="AE9" s="13">
        <v>0</v>
      </c>
      <c r="AF9" s="13">
        <v>0</v>
      </c>
      <c r="AG9" s="13">
        <v>809</v>
      </c>
      <c r="AH9" s="13">
        <v>694</v>
      </c>
      <c r="AI9" s="13">
        <v>424</v>
      </c>
      <c r="AJ9" s="13">
        <v>406</v>
      </c>
      <c r="AK9" s="13">
        <v>592</v>
      </c>
      <c r="AL9" s="13">
        <v>1310</v>
      </c>
      <c r="AM9" s="13">
        <v>1277</v>
      </c>
      <c r="AN9" s="13">
        <v>695</v>
      </c>
      <c r="AO9" s="13">
        <v>677</v>
      </c>
      <c r="AP9" s="13">
        <v>198</v>
      </c>
      <c r="AQ9" s="13">
        <v>186</v>
      </c>
      <c r="AR9" s="13">
        <v>256</v>
      </c>
      <c r="AS9" s="13">
        <v>638</v>
      </c>
      <c r="AT9" s="13">
        <v>507</v>
      </c>
      <c r="AU9" s="13">
        <v>258</v>
      </c>
      <c r="AV9" s="13">
        <v>245</v>
      </c>
      <c r="AW9" s="13">
        <v>195</v>
      </c>
      <c r="AX9" s="13">
        <v>190</v>
      </c>
      <c r="AY9" s="13">
        <v>294</v>
      </c>
      <c r="AZ9" s="13">
        <v>638</v>
      </c>
      <c r="BA9" s="13">
        <v>529</v>
      </c>
      <c r="BB9" s="13">
        <v>280</v>
      </c>
      <c r="BC9" s="13">
        <v>348</v>
      </c>
      <c r="BD9" s="13">
        <v>241</v>
      </c>
      <c r="BE9" s="13">
        <v>239</v>
      </c>
      <c r="BF9" s="13">
        <v>273</v>
      </c>
      <c r="BG9" s="13">
        <v>573</v>
      </c>
      <c r="BH9" s="13">
        <v>504</v>
      </c>
      <c r="BI9" s="13">
        <v>224</v>
      </c>
      <c r="BJ9" s="13">
        <v>196</v>
      </c>
      <c r="BK9" s="13">
        <v>471</v>
      </c>
      <c r="BL9" s="13">
        <v>228</v>
      </c>
      <c r="BM9" s="13">
        <v>234</v>
      </c>
      <c r="BN9" s="13">
        <v>554</v>
      </c>
      <c r="BO9" s="13">
        <v>465</v>
      </c>
      <c r="BP9" s="13">
        <v>259</v>
      </c>
      <c r="BQ9" s="13">
        <v>246</v>
      </c>
      <c r="BR9" s="13">
        <v>526</v>
      </c>
      <c r="BS9" s="13">
        <v>137</v>
      </c>
      <c r="BT9" s="13">
        <v>192</v>
      </c>
      <c r="BU9" s="13">
        <v>460</v>
      </c>
      <c r="BV9" s="13">
        <v>447</v>
      </c>
      <c r="BW9" s="13">
        <v>44</v>
      </c>
      <c r="BX9" s="13">
        <v>130</v>
      </c>
      <c r="BY9" s="13">
        <v>179</v>
      </c>
      <c r="BZ9" s="13">
        <v>152</v>
      </c>
      <c r="CA9" s="13">
        <v>213</v>
      </c>
      <c r="CB9" s="13">
        <v>575</v>
      </c>
      <c r="CC9" s="13">
        <v>417</v>
      </c>
      <c r="CD9" s="13">
        <v>164</v>
      </c>
      <c r="CE9" s="13">
        <v>197</v>
      </c>
      <c r="CF9" s="13">
        <v>168</v>
      </c>
      <c r="CG9" s="13">
        <v>185</v>
      </c>
      <c r="CH9" s="13">
        <v>232</v>
      </c>
      <c r="CI9" s="13">
        <v>739</v>
      </c>
      <c r="CJ9" s="13">
        <v>587</v>
      </c>
      <c r="CK9" s="13">
        <v>293</v>
      </c>
      <c r="CL9" s="13">
        <v>271</v>
      </c>
      <c r="CM9" s="13">
        <v>280</v>
      </c>
      <c r="CN9" s="13">
        <v>382</v>
      </c>
      <c r="CO9" s="13">
        <v>586</v>
      </c>
      <c r="CP9" s="13">
        <v>1007</v>
      </c>
      <c r="CQ9" s="13">
        <v>929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25">
      <c r="B10" s="14" t="s">
        <v>13</v>
      </c>
      <c r="C10" s="13">
        <v>106</v>
      </c>
      <c r="D10" s="13">
        <v>107</v>
      </c>
      <c r="E10" s="13">
        <v>287</v>
      </c>
      <c r="F10" s="13">
        <v>205</v>
      </c>
      <c r="G10" s="13">
        <v>115</v>
      </c>
      <c r="H10" s="13">
        <v>64</v>
      </c>
      <c r="I10" s="13">
        <v>106</v>
      </c>
      <c r="J10" s="13">
        <v>54</v>
      </c>
      <c r="K10" s="13">
        <v>96</v>
      </c>
      <c r="L10" s="13">
        <v>101</v>
      </c>
      <c r="M10" s="13">
        <v>282</v>
      </c>
      <c r="N10" s="13">
        <v>173</v>
      </c>
      <c r="O10" s="13">
        <v>85</v>
      </c>
      <c r="P10" s="13">
        <v>84</v>
      </c>
      <c r="Q10" s="13">
        <v>111</v>
      </c>
      <c r="R10" s="13">
        <v>107</v>
      </c>
      <c r="S10" s="13">
        <v>134</v>
      </c>
      <c r="T10" s="13">
        <v>213</v>
      </c>
      <c r="U10" s="13">
        <v>184</v>
      </c>
      <c r="V10" s="13">
        <v>59</v>
      </c>
      <c r="W10" s="13">
        <v>100</v>
      </c>
      <c r="X10" s="13">
        <v>73</v>
      </c>
      <c r="Y10" s="13">
        <v>97</v>
      </c>
      <c r="Z10" s="13">
        <v>112</v>
      </c>
      <c r="AA10" s="13">
        <v>266</v>
      </c>
      <c r="AB10" s="13">
        <v>204</v>
      </c>
      <c r="AC10" s="13">
        <v>200</v>
      </c>
      <c r="AD10" s="13">
        <v>68</v>
      </c>
      <c r="AE10" s="13">
        <v>128</v>
      </c>
      <c r="AF10" s="13">
        <v>54</v>
      </c>
      <c r="AG10" s="13">
        <v>122</v>
      </c>
      <c r="AH10" s="13">
        <v>157</v>
      </c>
      <c r="AI10" s="13">
        <v>164</v>
      </c>
      <c r="AJ10" s="13">
        <v>125</v>
      </c>
      <c r="AK10" s="13">
        <v>131</v>
      </c>
      <c r="AL10" s="13">
        <v>83</v>
      </c>
      <c r="AM10" s="13">
        <v>97</v>
      </c>
      <c r="AN10" s="13">
        <v>68</v>
      </c>
      <c r="AO10" s="13">
        <v>195</v>
      </c>
      <c r="AP10" s="13">
        <v>158</v>
      </c>
      <c r="AQ10" s="13">
        <v>25</v>
      </c>
      <c r="AR10" s="13">
        <v>122</v>
      </c>
      <c r="AS10" s="13">
        <v>102</v>
      </c>
      <c r="AT10" s="13">
        <v>74</v>
      </c>
      <c r="AU10" s="13">
        <v>159</v>
      </c>
      <c r="AV10" s="13">
        <v>194</v>
      </c>
      <c r="AW10" s="13">
        <v>154</v>
      </c>
      <c r="AX10" s="13">
        <v>84</v>
      </c>
      <c r="AY10" s="13">
        <v>62</v>
      </c>
      <c r="AZ10" s="13">
        <v>84</v>
      </c>
      <c r="BA10" s="13">
        <v>140</v>
      </c>
      <c r="BB10" s="13">
        <v>106</v>
      </c>
      <c r="BC10" s="13">
        <v>189</v>
      </c>
      <c r="BD10" s="13">
        <v>177</v>
      </c>
      <c r="BE10" s="13">
        <v>65</v>
      </c>
      <c r="BF10" s="13">
        <v>76</v>
      </c>
      <c r="BG10" s="13">
        <v>150</v>
      </c>
      <c r="BH10" s="13">
        <v>110</v>
      </c>
      <c r="BI10" s="13">
        <v>145</v>
      </c>
      <c r="BJ10" s="13">
        <v>223</v>
      </c>
      <c r="BK10" s="13">
        <v>318</v>
      </c>
      <c r="BL10" s="13">
        <v>140</v>
      </c>
      <c r="BM10" s="13">
        <v>81</v>
      </c>
      <c r="BN10" s="13">
        <v>137</v>
      </c>
      <c r="BO10" s="13">
        <v>120</v>
      </c>
      <c r="BP10" s="13">
        <v>166</v>
      </c>
      <c r="BQ10" s="13">
        <v>251</v>
      </c>
      <c r="BR10" s="13">
        <v>323</v>
      </c>
      <c r="BS10" s="13">
        <v>21</v>
      </c>
      <c r="BT10" s="13">
        <v>123</v>
      </c>
      <c r="BU10" s="13">
        <v>148</v>
      </c>
      <c r="BV10" s="13">
        <v>81</v>
      </c>
      <c r="BW10" s="13">
        <v>400</v>
      </c>
      <c r="BX10" s="13">
        <v>408</v>
      </c>
      <c r="BY10" s="13">
        <v>384</v>
      </c>
      <c r="BZ10" s="13">
        <v>147</v>
      </c>
      <c r="CA10" s="13">
        <v>87</v>
      </c>
      <c r="CB10" s="13">
        <v>122</v>
      </c>
      <c r="CC10" s="13">
        <v>126</v>
      </c>
      <c r="CD10" s="13">
        <v>194</v>
      </c>
      <c r="CE10" s="13">
        <v>497</v>
      </c>
      <c r="CF10" s="13">
        <v>437</v>
      </c>
      <c r="CG10" s="13">
        <v>197</v>
      </c>
      <c r="CH10" s="13">
        <v>175</v>
      </c>
      <c r="CI10" s="13">
        <v>288</v>
      </c>
      <c r="CJ10" s="13">
        <v>211</v>
      </c>
      <c r="CK10" s="13">
        <v>264</v>
      </c>
      <c r="CL10" s="13">
        <v>695</v>
      </c>
      <c r="CM10" s="13">
        <v>649</v>
      </c>
      <c r="CN10" s="13">
        <v>314</v>
      </c>
      <c r="CO10" s="13">
        <v>248</v>
      </c>
      <c r="CP10" s="13">
        <v>262</v>
      </c>
      <c r="CQ10" s="13">
        <v>364</v>
      </c>
      <c r="CR10" s="13">
        <v>361</v>
      </c>
      <c r="CS10" s="13">
        <v>701</v>
      </c>
      <c r="CT10" s="13">
        <v>786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25">
      <c r="B11" s="14" t="s">
        <v>14</v>
      </c>
      <c r="C11" s="13">
        <v>227</v>
      </c>
      <c r="D11" s="13">
        <v>274</v>
      </c>
      <c r="E11" s="13">
        <v>124</v>
      </c>
      <c r="F11" s="13">
        <v>105</v>
      </c>
      <c r="G11" s="13">
        <v>413</v>
      </c>
      <c r="H11" s="13">
        <v>305</v>
      </c>
      <c r="I11" s="13">
        <v>349</v>
      </c>
      <c r="J11" s="13">
        <v>336</v>
      </c>
      <c r="K11" s="13">
        <v>120</v>
      </c>
      <c r="L11" s="13">
        <v>96</v>
      </c>
      <c r="M11" s="13">
        <v>202</v>
      </c>
      <c r="N11" s="13">
        <v>383</v>
      </c>
      <c r="O11" s="13">
        <v>404</v>
      </c>
      <c r="P11" s="13">
        <v>371</v>
      </c>
      <c r="Q11" s="13">
        <v>126</v>
      </c>
      <c r="R11" s="13">
        <v>99</v>
      </c>
      <c r="S11" s="13">
        <v>236</v>
      </c>
      <c r="T11" s="13">
        <v>189</v>
      </c>
      <c r="U11" s="13">
        <v>567</v>
      </c>
      <c r="V11" s="13">
        <v>341</v>
      </c>
      <c r="W11" s="13">
        <v>0</v>
      </c>
      <c r="X11" s="13">
        <v>114</v>
      </c>
      <c r="Y11" s="13">
        <v>129</v>
      </c>
      <c r="Z11" s="13">
        <v>159</v>
      </c>
      <c r="AA11" s="13">
        <v>203</v>
      </c>
      <c r="AB11" s="13">
        <v>525</v>
      </c>
      <c r="AC11" s="13">
        <v>353</v>
      </c>
      <c r="AD11" s="13">
        <v>163</v>
      </c>
      <c r="AE11" s="13">
        <v>105</v>
      </c>
      <c r="AF11" s="13">
        <v>130</v>
      </c>
      <c r="AG11" s="13">
        <v>120</v>
      </c>
      <c r="AH11" s="13">
        <v>177</v>
      </c>
      <c r="AI11" s="13">
        <v>326</v>
      </c>
      <c r="AJ11" s="13">
        <v>320</v>
      </c>
      <c r="AK11" s="13">
        <v>94</v>
      </c>
      <c r="AL11" s="13">
        <v>122</v>
      </c>
      <c r="AM11" s="13">
        <v>127</v>
      </c>
      <c r="AN11" s="13">
        <v>95</v>
      </c>
      <c r="AO11" s="13">
        <v>151</v>
      </c>
      <c r="AP11" s="13">
        <v>487</v>
      </c>
      <c r="AQ11" s="13">
        <v>427</v>
      </c>
      <c r="AR11" s="13">
        <v>0</v>
      </c>
      <c r="AS11" s="13">
        <v>135</v>
      </c>
      <c r="AT11" s="13">
        <v>161</v>
      </c>
      <c r="AU11" s="13">
        <v>126</v>
      </c>
      <c r="AV11" s="13">
        <v>153</v>
      </c>
      <c r="AW11" s="13">
        <v>521</v>
      </c>
      <c r="AX11" s="13">
        <v>523</v>
      </c>
      <c r="AY11" s="13">
        <v>157</v>
      </c>
      <c r="AZ11" s="13">
        <v>102</v>
      </c>
      <c r="BA11" s="13">
        <v>143</v>
      </c>
      <c r="BB11" s="13">
        <v>125</v>
      </c>
      <c r="BC11" s="13">
        <v>269</v>
      </c>
      <c r="BD11" s="13">
        <v>502</v>
      </c>
      <c r="BE11" s="13">
        <v>564</v>
      </c>
      <c r="BF11" s="13">
        <v>135</v>
      </c>
      <c r="BG11" s="13">
        <v>117</v>
      </c>
      <c r="BH11" s="13">
        <v>157</v>
      </c>
      <c r="BI11" s="13">
        <v>169</v>
      </c>
      <c r="BJ11" s="13">
        <v>263</v>
      </c>
      <c r="BK11" s="13">
        <v>544</v>
      </c>
      <c r="BL11" s="13">
        <v>532</v>
      </c>
      <c r="BM11" s="13">
        <v>136</v>
      </c>
      <c r="BN11" s="13">
        <v>138</v>
      </c>
      <c r="BO11" s="13">
        <v>146</v>
      </c>
      <c r="BP11" s="13">
        <v>118</v>
      </c>
      <c r="BQ11" s="13">
        <v>159</v>
      </c>
      <c r="BR11" s="13">
        <v>502</v>
      </c>
      <c r="BS11" s="13">
        <v>464</v>
      </c>
      <c r="BT11" s="13">
        <v>94</v>
      </c>
      <c r="BU11" s="13">
        <v>139</v>
      </c>
      <c r="BV11" s="13">
        <v>135</v>
      </c>
      <c r="BW11" s="13">
        <v>250</v>
      </c>
      <c r="BX11" s="13">
        <v>193</v>
      </c>
      <c r="BY11" s="13">
        <v>602</v>
      </c>
      <c r="BZ11" s="13">
        <v>482</v>
      </c>
      <c r="CA11" s="13">
        <v>161</v>
      </c>
      <c r="CB11" s="13">
        <v>188</v>
      </c>
      <c r="CC11" s="13">
        <v>236</v>
      </c>
      <c r="CD11" s="13">
        <v>154</v>
      </c>
      <c r="CE11" s="13">
        <v>451</v>
      </c>
      <c r="CF11" s="13">
        <v>619</v>
      </c>
      <c r="CG11" s="13">
        <v>542</v>
      </c>
      <c r="CH11" s="13">
        <v>263</v>
      </c>
      <c r="CI11" s="13">
        <v>234</v>
      </c>
      <c r="CJ11" s="13">
        <v>332</v>
      </c>
      <c r="CK11" s="13">
        <v>265</v>
      </c>
      <c r="CL11" s="13">
        <v>370</v>
      </c>
      <c r="CM11" s="13">
        <v>690</v>
      </c>
      <c r="CN11" s="13">
        <v>713</v>
      </c>
      <c r="CO11" s="13">
        <v>799</v>
      </c>
      <c r="CP11" s="13">
        <v>399</v>
      </c>
      <c r="CQ11" s="13">
        <v>421</v>
      </c>
      <c r="CR11" s="13">
        <v>564</v>
      </c>
      <c r="CS11" s="13">
        <v>689</v>
      </c>
      <c r="CT11" s="13">
        <v>772</v>
      </c>
      <c r="CU11" s="13">
        <v>1190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</row>
    <row r="12" spans="1:138" x14ac:dyDescent="0.25">
      <c r="B12" s="14" t="s">
        <v>15</v>
      </c>
      <c r="C12" s="13" t="e">
        <f>+INDEX(b_stick!$L$9:$L$144,C$3)</f>
        <v>#REF!</v>
      </c>
      <c r="D12" s="13" t="e">
        <f>+INDEX(b_stick!$L$9:$L$144,D$3)</f>
        <v>#REF!</v>
      </c>
      <c r="E12" s="13" t="e">
        <f>+INDEX(b_stick!$L$9:$L$144,E$3)</f>
        <v>#REF!</v>
      </c>
      <c r="F12" s="13" t="e">
        <f>+INDEX(b_stick!$L$9:$L$144,F$3)</f>
        <v>#REF!</v>
      </c>
      <c r="G12" s="13" t="e">
        <f>+INDEX(b_stick!$L$9:$L$144,G$3)</f>
        <v>#REF!</v>
      </c>
      <c r="H12" s="13" t="e">
        <f>+INDEX(b_stick!$L$9:$L$144,H$3)</f>
        <v>#REF!</v>
      </c>
      <c r="I12" s="13" t="e">
        <f>+INDEX(b_stick!$L$9:$L$144,I$3)</f>
        <v>#REF!</v>
      </c>
      <c r="J12" s="13" t="e">
        <f>+INDEX(b_stick!$L$9:$L$144,J$3)</f>
        <v>#REF!</v>
      </c>
      <c r="K12" s="13" t="e">
        <f>+INDEX(b_stick!$L$9:$L$144,K$3)</f>
        <v>#REF!</v>
      </c>
      <c r="L12" s="13" t="e">
        <f>+INDEX(b_stick!$L$9:$L$144,L$3)</f>
        <v>#REF!</v>
      </c>
      <c r="M12" s="13" t="e">
        <f>+INDEX(b_stick!$L$9:$L$144,M$3)</f>
        <v>#REF!</v>
      </c>
      <c r="N12" s="13" t="e">
        <f>+INDEX(b_stick!$L$9:$L$144,N$3)</f>
        <v>#REF!</v>
      </c>
      <c r="O12" s="13" t="e">
        <f>+INDEX(b_stick!$L$9:$L$144,O$3)</f>
        <v>#REF!</v>
      </c>
      <c r="P12" s="13" t="e">
        <f>+INDEX(b_stick!$L$9:$L$144,P$3)</f>
        <v>#REF!</v>
      </c>
      <c r="Q12" s="13" t="e">
        <f>+INDEX(b_stick!$L$9:$L$144,Q$3)</f>
        <v>#REF!</v>
      </c>
      <c r="R12" s="13" t="e">
        <f>+INDEX(b_stick!$L$9:$L$144,R$3)</f>
        <v>#REF!</v>
      </c>
      <c r="S12" s="13" t="e">
        <f>+INDEX(b_stick!$L$9:$L$144,S$3)</f>
        <v>#REF!</v>
      </c>
      <c r="T12" s="13" t="e">
        <f>+INDEX(b_stick!$L$9:$L$144,T$3)</f>
        <v>#REF!</v>
      </c>
      <c r="U12" s="13" t="e">
        <f>+INDEX(b_stick!$L$9:$L$144,U$3)</f>
        <v>#REF!</v>
      </c>
      <c r="V12" s="13" t="e">
        <f>+INDEX(b_stick!$L$9:$L$144,V$3)</f>
        <v>#REF!</v>
      </c>
      <c r="W12" s="13" t="e">
        <f>+INDEX(b_stick!$L$9:$L$144,W$3)</f>
        <v>#REF!</v>
      </c>
      <c r="X12" s="13" t="e">
        <f>+INDEX(b_stick!$L$9:$L$144,X$3)</f>
        <v>#REF!</v>
      </c>
      <c r="Y12" s="13" t="e">
        <f>+INDEX(b_stick!$L$9:$L$144,Y$3)</f>
        <v>#REF!</v>
      </c>
      <c r="Z12" s="13" t="e">
        <f>+INDEX(b_stick!$L$9:$L$144,Z$3)</f>
        <v>#REF!</v>
      </c>
      <c r="AA12" s="13" t="e">
        <f>+INDEX(b_stick!$L$9:$L$144,AA$3)</f>
        <v>#REF!</v>
      </c>
      <c r="AB12" s="13" t="e">
        <f>+INDEX(b_stick!$L$9:$L$144,AB$3)</f>
        <v>#REF!</v>
      </c>
      <c r="AC12" s="13" t="e">
        <f>+INDEX(b_stick!$L$9:$L$144,AC$3)</f>
        <v>#REF!</v>
      </c>
      <c r="AD12" s="13" t="e">
        <f>+INDEX(b_stick!$L$9:$L$144,AD$3)</f>
        <v>#REF!</v>
      </c>
      <c r="AE12" s="13" t="e">
        <f>+INDEX(b_stick!$L$9:$L$144,AE$3)</f>
        <v>#REF!</v>
      </c>
      <c r="AF12" s="13" t="e">
        <f>+INDEX(b_stick!$L$9:$L$144,AF$3)</f>
        <v>#REF!</v>
      </c>
      <c r="AG12" s="13" t="e">
        <f>+INDEX(b_stick!$L$9:$L$144,AG$3)</f>
        <v>#REF!</v>
      </c>
      <c r="AH12" s="13" t="e">
        <f>+INDEX(b_stick!$L$9:$L$144,AH$3)</f>
        <v>#REF!</v>
      </c>
      <c r="AI12" s="13" t="e">
        <f>+INDEX(b_stick!$L$9:$L$144,AI$3)</f>
        <v>#REF!</v>
      </c>
      <c r="AJ12" s="13" t="e">
        <f>+INDEX(b_stick!$L$9:$L$144,AJ$3)</f>
        <v>#REF!</v>
      </c>
      <c r="AK12" s="13" t="e">
        <f>+INDEX(b_stick!$L$9:$L$144,AK$3)</f>
        <v>#REF!</v>
      </c>
      <c r="AL12" s="13" t="e">
        <f>+INDEX(b_stick!$L$9:$L$144,AL$3)</f>
        <v>#REF!</v>
      </c>
      <c r="AM12" s="13" t="e">
        <f>+INDEX(b_stick!$L$9:$L$144,AM$3)</f>
        <v>#REF!</v>
      </c>
      <c r="AN12" s="13" t="e">
        <f>+INDEX(b_stick!$L$9:$L$144,AN$3)</f>
        <v>#REF!</v>
      </c>
      <c r="AO12" s="13" t="e">
        <f>+INDEX(b_stick!$L$9:$L$144,AO$3)</f>
        <v>#REF!</v>
      </c>
      <c r="AP12" s="13" t="e">
        <f>+INDEX(b_stick!$L$9:$L$144,AP$3)</f>
        <v>#REF!</v>
      </c>
      <c r="AQ12" s="13" t="e">
        <f>+INDEX(b_stick!$L$9:$L$144,AQ$3)</f>
        <v>#REF!</v>
      </c>
      <c r="AR12" s="13" t="e">
        <f>+INDEX(b_stick!$L$9:$L$144,AR$3)</f>
        <v>#REF!</v>
      </c>
      <c r="AS12" s="13" t="e">
        <f>+INDEX(b_stick!$L$9:$L$144,AS$3)</f>
        <v>#REF!</v>
      </c>
      <c r="AT12" s="13" t="e">
        <f>+INDEX(b_stick!$L$9:$L$144,AT$3)</f>
        <v>#REF!</v>
      </c>
      <c r="AU12" s="13" t="e">
        <f>+INDEX(b_stick!$L$9:$L$144,AU$3)</f>
        <v>#REF!</v>
      </c>
      <c r="AV12" s="13" t="e">
        <f>+INDEX(b_stick!$L$9:$L$144,AV$3)</f>
        <v>#REF!</v>
      </c>
      <c r="AW12" s="13" t="e">
        <f>+INDEX(b_stick!$L$9:$L$144,AW$3)</f>
        <v>#REF!</v>
      </c>
      <c r="AX12" s="13" t="e">
        <f>+INDEX(b_stick!$L$9:$L$144,AX$3)</f>
        <v>#REF!</v>
      </c>
      <c r="AY12" s="13" t="e">
        <f>+INDEX(b_stick!$L$9:$L$144,AY$3)</f>
        <v>#REF!</v>
      </c>
      <c r="AZ12" s="13" t="e">
        <f>+INDEX(b_stick!$L$9:$L$144,AZ$3)</f>
        <v>#REF!</v>
      </c>
      <c r="BA12" s="13" t="e">
        <f>+INDEX(b_stick!$L$9:$L$144,BA$3)</f>
        <v>#REF!</v>
      </c>
      <c r="BB12" s="13" t="e">
        <f>+INDEX(b_stick!$L$9:$L$144,BB$3)</f>
        <v>#REF!</v>
      </c>
      <c r="BC12" s="13" t="e">
        <f>+INDEX(b_stick!$L$9:$L$144,BC$3)</f>
        <v>#REF!</v>
      </c>
      <c r="BD12" s="13" t="e">
        <f>+INDEX(b_stick!$L$9:$L$144,BD$3)</f>
        <v>#REF!</v>
      </c>
      <c r="BE12" s="13" t="e">
        <f>+INDEX(b_stick!$L$9:$L$144,BE$3)</f>
        <v>#REF!</v>
      </c>
      <c r="BF12" s="13" t="e">
        <f>+INDEX(b_stick!$L$9:$L$144,BF$3)</f>
        <v>#REF!</v>
      </c>
      <c r="BG12" s="13" t="e">
        <f>+INDEX(b_stick!$L$9:$L$144,BG$3)</f>
        <v>#REF!</v>
      </c>
      <c r="BH12" s="13" t="e">
        <f>+INDEX(b_stick!$L$9:$L$144,BH$3)</f>
        <v>#REF!</v>
      </c>
      <c r="BI12" s="13" t="e">
        <f>+INDEX(b_stick!$L$9:$L$144,BI$3)</f>
        <v>#REF!</v>
      </c>
      <c r="BJ12" s="13" t="e">
        <f>+INDEX(b_stick!$L$9:$L$144,BJ$3)</f>
        <v>#REF!</v>
      </c>
      <c r="BK12" s="13" t="e">
        <f>+INDEX(b_stick!$L$9:$L$144,BK$3)</f>
        <v>#REF!</v>
      </c>
      <c r="BL12" s="13" t="e">
        <f>+INDEX(b_stick!$L$9:$L$144,BL$3)</f>
        <v>#REF!</v>
      </c>
      <c r="BM12" s="13" t="e">
        <f>+INDEX(b_stick!$L$9:$L$144,BM$3)</f>
        <v>#REF!</v>
      </c>
      <c r="BN12" s="13" t="e">
        <f>+INDEX(b_stick!$L$9:$L$144,BN$3)</f>
        <v>#REF!</v>
      </c>
      <c r="BO12" s="13" t="e">
        <f>+INDEX(b_stick!$L$9:$L$144,BO$3)</f>
        <v>#REF!</v>
      </c>
      <c r="BP12" s="13" t="e">
        <f>+INDEX(b_stick!$L$9:$L$144,BP$3)</f>
        <v>#REF!</v>
      </c>
      <c r="BQ12" s="13" t="e">
        <f>+INDEX(b_stick!$L$9:$L$144,BQ$3)</f>
        <v>#REF!</v>
      </c>
      <c r="BR12" s="13" t="e">
        <f>+INDEX(b_stick!$L$9:$L$144,BR$3)</f>
        <v>#REF!</v>
      </c>
      <c r="BS12" s="13" t="e">
        <f>+INDEX(b_stick!$L$9:$L$144,BS$3)</f>
        <v>#REF!</v>
      </c>
      <c r="BT12" s="13" t="e">
        <f>+INDEX(b_stick!$L$9:$L$144,BT$3)</f>
        <v>#REF!</v>
      </c>
      <c r="BU12" s="13" t="e">
        <f>+INDEX(b_stick!$L$9:$L$144,BU$3)</f>
        <v>#REF!</v>
      </c>
      <c r="BV12" s="13" t="e">
        <f>+INDEX(b_stick!$L$9:$L$144,BV$3)</f>
        <v>#REF!</v>
      </c>
      <c r="BW12" s="13" t="e">
        <f>+INDEX(b_stick!$L$9:$L$144,BW$3)</f>
        <v>#REF!</v>
      </c>
      <c r="BX12" s="13" t="e">
        <f>+INDEX(b_stick!$L$9:$L$144,BX$3)</f>
        <v>#REF!</v>
      </c>
      <c r="BY12" s="13" t="e">
        <f>+INDEX(b_stick!$L$9:$L$144,BY$3)</f>
        <v>#REF!</v>
      </c>
      <c r="BZ12" s="13" t="e">
        <f>+INDEX(b_stick!$L$9:$L$144,BZ$3)</f>
        <v>#REF!</v>
      </c>
      <c r="CA12" s="13" t="e">
        <f>+INDEX(b_stick!$L$9:$L$144,CA$3)</f>
        <v>#REF!</v>
      </c>
      <c r="CB12" s="13" t="e">
        <f>+INDEX(b_stick!$L$9:$L$144,CB$3)</f>
        <v>#REF!</v>
      </c>
      <c r="CC12" s="13" t="e">
        <f>+INDEX(b_stick!$L$9:$L$144,CC$3)</f>
        <v>#REF!</v>
      </c>
      <c r="CD12" s="13" t="e">
        <f>+INDEX(b_stick!$L$9:$L$144,CD$3)</f>
        <v>#REF!</v>
      </c>
      <c r="CE12" s="13" t="e">
        <f>+INDEX(b_stick!$L$9:$L$144,CE$3)</f>
        <v>#REF!</v>
      </c>
      <c r="CF12" s="13" t="e">
        <f>+INDEX(b_stick!$L$9:$L$144,CF$3)</f>
        <v>#REF!</v>
      </c>
      <c r="CG12" s="13" t="e">
        <f>+INDEX(b_stick!$L$9:$L$144,CG$3)</f>
        <v>#REF!</v>
      </c>
      <c r="CH12" s="13" t="e">
        <f>+INDEX(b_stick!$L$9:$L$144,CH$3)</f>
        <v>#REF!</v>
      </c>
      <c r="CI12" s="13" t="e">
        <f>+INDEX(b_stick!$L$9:$L$144,CI$3)</f>
        <v>#REF!</v>
      </c>
      <c r="CJ12" s="13" t="e">
        <f>+INDEX(b_stick!$L$9:$L$144,CJ$3)</f>
        <v>#REF!</v>
      </c>
      <c r="CK12" s="13" t="e">
        <f>+INDEX(b_stick!$L$9:$L$144,CK$3)</f>
        <v>#REF!</v>
      </c>
      <c r="CL12" s="13" t="e">
        <f>+INDEX(b_stick!$L$9:$L$144,CL$3)</f>
        <v>#REF!</v>
      </c>
      <c r="CM12" s="13" t="e">
        <f>+INDEX(b_stick!$L$9:$L$144,CM$3)</f>
        <v>#REF!</v>
      </c>
      <c r="CN12" s="13" t="e">
        <f>+INDEX(b_stick!$L$9:$L$144,CN$3)</f>
        <v>#REF!</v>
      </c>
      <c r="CO12" s="13" t="e">
        <f>+INDEX(b_stick!$L$9:$L$144,CO$3)</f>
        <v>#REF!</v>
      </c>
      <c r="CP12" s="13" t="e">
        <f>+INDEX(b_stick!$L$9:$L$144,CP$3)</f>
        <v>#REF!</v>
      </c>
      <c r="CQ12" s="13" t="e">
        <f>+INDEX(b_stick!$L$9:$L$144,CQ$3)</f>
        <v>#REF!</v>
      </c>
      <c r="CR12" s="13" t="e">
        <f>+INDEX(b_stick!$L$9:$L$144,CR$3)</f>
        <v>#REF!</v>
      </c>
      <c r="CS12" s="13" t="e">
        <f>+INDEX(b_stick!$L$9:$L$144,CS$3)</f>
        <v>#REF!</v>
      </c>
      <c r="CT12" s="13" t="e">
        <f>+INDEX(b_stick!$L$9:$L$144,CT$3)</f>
        <v>#REF!</v>
      </c>
      <c r="CU12" s="13" t="e">
        <f>+INDEX(b_stick!$L$9:$L$144,CU$3)</f>
        <v>#REF!</v>
      </c>
      <c r="CV12" s="13" t="e">
        <f>+INDEX(b_stick!$L$9:$L$144,CV$3)</f>
        <v>#REF!</v>
      </c>
      <c r="CW12" s="13" t="e">
        <f>+INDEX(b_stick!$L$9:$L$144,CW$3)</f>
        <v>#REF!</v>
      </c>
      <c r="CX12" s="13" t="e">
        <f>+INDEX(b_stick!$L$9:$L$144,CX$3)</f>
        <v>#REF!</v>
      </c>
      <c r="CY12" s="13" t="e">
        <f>+INDEX(b_stick!$L$9:$L$144,CY$3)</f>
        <v>#REF!</v>
      </c>
      <c r="CZ12" s="13" t="e">
        <f>+INDEX(b_stick!$L$9:$L$144,CZ$3)</f>
        <v>#REF!</v>
      </c>
      <c r="DA12" s="13" t="e">
        <f>+INDEX(b_stick!$L$9:$L$144,DA$3)</f>
        <v>#REF!</v>
      </c>
      <c r="DB12" s="13" t="e">
        <f>+INDEX(b_stick!$L$9:$L$144,DB$3)</f>
        <v>#REF!</v>
      </c>
      <c r="DC12" s="13" t="e">
        <f>+INDEX(b_stick!$L$9:$L$144,DC$3)</f>
        <v>#REF!</v>
      </c>
      <c r="DD12" s="13" t="e">
        <f>+INDEX(b_stick!$L$9:$L$144,DD$3)</f>
        <v>#REF!</v>
      </c>
      <c r="DE12" s="13" t="e">
        <f>+INDEX(b_stick!$L$9:$L$144,DE$3)</f>
        <v>#REF!</v>
      </c>
      <c r="DF12" s="13" t="e">
        <f>+INDEX(b_stick!$L$9:$L$144,DF$3)</f>
        <v>#REF!</v>
      </c>
      <c r="DG12" s="13" t="e">
        <f>+INDEX(b_stick!$L$9:$L$144,DG$3)</f>
        <v>#REF!</v>
      </c>
      <c r="DH12" s="13" t="e">
        <f>+INDEX(b_stick!$L$9:$L$144,DH$3)</f>
        <v>#REF!</v>
      </c>
      <c r="DI12" s="13" t="e">
        <f>+INDEX(b_stick!$L$9:$L$144,DI$3)</f>
        <v>#REF!</v>
      </c>
      <c r="DJ12" s="13" t="e">
        <f>+INDEX(b_stick!$L$9:$L$144,DJ$3)</f>
        <v>#REF!</v>
      </c>
      <c r="DK12" s="13" t="e">
        <f>+INDEX(b_stick!$L$9:$L$144,DK$3)</f>
        <v>#REF!</v>
      </c>
      <c r="DL12" s="13" t="e">
        <f>+INDEX(b_stick!$L$9:$L$144,DL$3)</f>
        <v>#REF!</v>
      </c>
      <c r="DM12" s="13" t="e">
        <f>+INDEX(b_stick!$L$9:$L$144,DM$3)</f>
        <v>#REF!</v>
      </c>
      <c r="DN12" s="13" t="e">
        <f>+INDEX(b_stick!$L$9:$L$144,DN$3)</f>
        <v>#REF!</v>
      </c>
      <c r="DO12" s="13" t="e">
        <f>+INDEX(b_stick!$L$9:$L$144,DO$3)</f>
        <v>#REF!</v>
      </c>
      <c r="DP12" s="13" t="e">
        <f>+INDEX(b_stick!$L$9:$L$144,DP$3)</f>
        <v>#REF!</v>
      </c>
      <c r="DQ12" s="13" t="e">
        <f>+INDEX(b_stick!$L$9:$L$144,DQ$3)</f>
        <v>#REF!</v>
      </c>
      <c r="DR12" s="13" t="e">
        <f>+INDEX(b_stick!$L$9:$L$144,DR$3)</f>
        <v>#REF!</v>
      </c>
      <c r="DS12" s="13" t="e">
        <f>+INDEX(b_stick!$L$9:$L$144,DS$3)</f>
        <v>#REF!</v>
      </c>
      <c r="DT12" s="13" t="e">
        <f>+INDEX(b_stick!$L$9:$L$144,DT$3)</f>
        <v>#REF!</v>
      </c>
      <c r="DU12" s="13" t="e">
        <f>+INDEX(b_stick!$L$9:$L$144,DU$3)</f>
        <v>#REF!</v>
      </c>
      <c r="DV12" s="13" t="e">
        <f>+INDEX(b_stick!$L$9:$L$144,DV$3)</f>
        <v>#REF!</v>
      </c>
      <c r="DW12" s="13" t="e">
        <f>+INDEX(b_stick!$L$9:$L$144,DW$3)</f>
        <v>#REF!</v>
      </c>
      <c r="DX12" s="13" t="e">
        <f>+INDEX(b_stick!$L$9:$L$144,DX$3)</f>
        <v>#REF!</v>
      </c>
      <c r="DY12" s="13" t="e">
        <f>+INDEX(b_stick!$L$9:$L$144,DY$3)</f>
        <v>#REF!</v>
      </c>
      <c r="DZ12" s="13" t="e">
        <f>+INDEX(b_stick!$L$9:$L$144,DZ$3)</f>
        <v>#REF!</v>
      </c>
      <c r="EA12" s="13" t="e">
        <f>+INDEX(b_stick!$L$9:$L$144,EA$3)</f>
        <v>#REF!</v>
      </c>
      <c r="EB12" s="13" t="e">
        <f>+INDEX(b_stick!$L$9:$L$144,EB$3)</f>
        <v>#REF!</v>
      </c>
      <c r="EC12" s="13" t="e">
        <f>+INDEX(b_stick!$L$9:$L$144,EC$3)</f>
        <v>#REF!</v>
      </c>
      <c r="ED12" s="13" t="e">
        <f>+INDEX(b_stick!$L$9:$L$144,ED$3)</f>
        <v>#REF!</v>
      </c>
      <c r="EE12" s="13" t="e">
        <f>+INDEX(b_stick!$L$9:$L$144,EE$3)</f>
        <v>#REF!</v>
      </c>
      <c r="EF12" s="13" t="e">
        <f>+INDEX(b_stick!$L$9:$L$144,EF$3)</f>
        <v>#REF!</v>
      </c>
      <c r="EG12" s="13" t="e">
        <f>+INDEX(b_stick!$L$9:$L$144,EG$3)</f>
        <v>#REF!</v>
      </c>
      <c r="EH12" s="13" t="e">
        <f>+INDEX(b_stick!$L$9:$L$144,EH$3)</f>
        <v>#REF!</v>
      </c>
    </row>
    <row r="18" spans="2:6" x14ac:dyDescent="0.25">
      <c r="F18" s="19" t="s">
        <v>19</v>
      </c>
    </row>
    <row r="19" spans="2:6" x14ac:dyDescent="0.25">
      <c r="B19" s="14"/>
    </row>
    <row r="20" spans="2:6" x14ac:dyDescent="0.25">
      <c r="B20" s="14"/>
    </row>
    <row r="21" spans="2:6" x14ac:dyDescent="0.25">
      <c r="B21" s="14"/>
      <c r="F21">
        <f ca="1">+SUM(범위_바스키아)</f>
        <v>40701</v>
      </c>
    </row>
    <row r="22" spans="2:6" x14ac:dyDescent="0.25">
      <c r="B22" s="14"/>
      <c r="F22">
        <f ca="1">+SUM(일차)</f>
        <v>1035</v>
      </c>
    </row>
    <row r="23" spans="2:6" x14ac:dyDescent="0.25">
      <c r="B23" s="14"/>
    </row>
    <row r="24" spans="2:6" x14ac:dyDescent="0.25">
      <c r="B24" s="14"/>
    </row>
    <row r="25" spans="2:6" x14ac:dyDescent="0.25">
      <c r="B25" s="14"/>
    </row>
    <row r="26" spans="2:6" x14ac:dyDescent="0.25">
      <c r="B26" s="14"/>
    </row>
    <row r="27" spans="2:6" x14ac:dyDescent="0.25">
      <c r="B27" s="1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X145"/>
  <sheetViews>
    <sheetView showGridLines="0" workbookViewId="0"/>
  </sheetViews>
  <sheetFormatPr defaultRowHeight="21.75" customHeight="1" x14ac:dyDescent="0.25"/>
  <cols>
    <col min="1" max="15" width="9.140625" customWidth="1"/>
    <col min="16" max="16" width="10.85546875" customWidth="1"/>
    <col min="17" max="20" width="9.140625" customWidth="1"/>
    <col min="24" max="24" width="28.5703125" customWidth="1"/>
  </cols>
  <sheetData>
    <row r="3" spans="3:24" ht="36.75" customHeight="1" x14ac:dyDescent="0.25">
      <c r="X3" s="17">
        <f>+O5</f>
        <v>45</v>
      </c>
    </row>
    <row r="5" spans="3:24" ht="21.75" customHeight="1" x14ac:dyDescent="0.25">
      <c r="O5" s="12">
        <f>+b_line!B2</f>
        <v>45</v>
      </c>
    </row>
    <row r="6" spans="3:24" ht="21.75" customHeight="1" x14ac:dyDescent="0.25">
      <c r="N6" t="s">
        <v>3</v>
      </c>
      <c r="O6" s="13" t="e">
        <f ca="1">+SUM(D8,OFFSET(D$8,0,0,$O$5+1))</f>
        <v>#REF!</v>
      </c>
      <c r="P6" s="16" t="e">
        <f t="shared" ref="P6:P14" ca="1" si="0">+O6/$O$5</f>
        <v>#REF!</v>
      </c>
      <c r="Q6" s="152" t="e">
        <f t="shared" ref="Q6:Q14" ca="1" si="1">+RANK(O6,$O$6:$O$14)</f>
        <v>#REF!</v>
      </c>
    </row>
    <row r="7" spans="3:24" ht="21.75" customHeight="1" x14ac:dyDescent="0.25">
      <c r="N7" t="s">
        <v>5</v>
      </c>
      <c r="O7" s="13" t="e">
        <f ca="1">+SUM(E8,OFFSET(E$8,0,0,$O$5+1))</f>
        <v>#REF!</v>
      </c>
      <c r="P7" s="16" t="e">
        <f t="shared" ca="1" si="0"/>
        <v>#REF!</v>
      </c>
      <c r="Q7" s="152" t="e">
        <f t="shared" ca="1" si="1"/>
        <v>#REF!</v>
      </c>
    </row>
    <row r="8" spans="3:24" ht="21.75" customHeight="1" x14ac:dyDescent="0.25">
      <c r="C8" s="14" t="s">
        <v>16</v>
      </c>
      <c r="D8" s="14" t="s">
        <v>3</v>
      </c>
      <c r="E8" s="14" t="s">
        <v>5</v>
      </c>
      <c r="F8" s="14" t="s">
        <v>4</v>
      </c>
      <c r="G8" s="14" t="s">
        <v>10</v>
      </c>
      <c r="H8" s="14" t="s">
        <v>11</v>
      </c>
      <c r="I8" s="14" t="s">
        <v>12</v>
      </c>
      <c r="J8" s="14" t="s">
        <v>13</v>
      </c>
      <c r="K8" s="14" t="s">
        <v>14</v>
      </c>
      <c r="L8" s="14" t="s">
        <v>15</v>
      </c>
      <c r="N8" t="s">
        <v>4</v>
      </c>
      <c r="O8" s="13" t="e">
        <f ca="1">+SUM(F8,OFFSET(F$8,0,0,$O$5+1))</f>
        <v>#REF!</v>
      </c>
      <c r="P8" s="16" t="e">
        <f t="shared" ca="1" si="0"/>
        <v>#REF!</v>
      </c>
      <c r="Q8" s="152" t="e">
        <f t="shared" ca="1" si="1"/>
        <v>#REF!</v>
      </c>
    </row>
    <row r="9" spans="3:24" ht="21.75" customHeight="1" x14ac:dyDescent="0.25">
      <c r="C9" s="14">
        <v>1</v>
      </c>
      <c r="D9" s="15" t="e">
        <f>+#REF!</f>
        <v>#REF!</v>
      </c>
      <c r="E9" s="15" t="e">
        <f>+#REF!</f>
        <v>#REF!</v>
      </c>
      <c r="F9" s="15" t="e">
        <f>+#REF!</f>
        <v>#REF!</v>
      </c>
      <c r="G9" s="15" t="e">
        <f>+#REF!</f>
        <v>#REF!</v>
      </c>
      <c r="H9" s="15" t="e">
        <f>+#REF!</f>
        <v>#REF!</v>
      </c>
      <c r="I9" s="15" t="e">
        <f>+#REF!</f>
        <v>#REF!</v>
      </c>
      <c r="J9" s="15" t="e">
        <f>+#REF!</f>
        <v>#REF!</v>
      </c>
      <c r="K9" s="15" t="e">
        <f>+#REF!</f>
        <v>#REF!</v>
      </c>
      <c r="L9" s="15" t="e">
        <f>+#REF!</f>
        <v>#REF!</v>
      </c>
      <c r="N9" t="s">
        <v>10</v>
      </c>
      <c r="O9" s="13" t="e">
        <f ca="1">+SUM(G8,OFFSET(G$8,0,0,$O$5+1))</f>
        <v>#REF!</v>
      </c>
      <c r="P9" s="16" t="e">
        <f t="shared" ca="1" si="0"/>
        <v>#REF!</v>
      </c>
      <c r="Q9" s="152" t="e">
        <f t="shared" ca="1" si="1"/>
        <v>#REF!</v>
      </c>
    </row>
    <row r="10" spans="3:24" ht="21.75" customHeight="1" x14ac:dyDescent="0.25">
      <c r="C10" s="14">
        <v>2</v>
      </c>
      <c r="D10" s="15" t="e">
        <f>+#REF!</f>
        <v>#REF!</v>
      </c>
      <c r="E10" s="15" t="e">
        <f>+#REF!</f>
        <v>#REF!</v>
      </c>
      <c r="F10" s="15" t="e">
        <f>+#REF!</f>
        <v>#REF!</v>
      </c>
      <c r="G10" s="15" t="e">
        <f>+#REF!</f>
        <v>#REF!</v>
      </c>
      <c r="H10" s="15" t="e">
        <f>+#REF!</f>
        <v>#REF!</v>
      </c>
      <c r="I10" s="15" t="e">
        <f>+#REF!</f>
        <v>#REF!</v>
      </c>
      <c r="J10" s="15" t="e">
        <f>+#REF!</f>
        <v>#REF!</v>
      </c>
      <c r="K10" s="15" t="e">
        <f>+#REF!</f>
        <v>#REF!</v>
      </c>
      <c r="L10" s="15" t="e">
        <f>+#REF!</f>
        <v>#REF!</v>
      </c>
      <c r="N10" t="s">
        <v>11</v>
      </c>
      <c r="O10" s="13" t="e">
        <f ca="1">+SUM(H8,OFFSET(H$8,0,0,$O$5+1))</f>
        <v>#REF!</v>
      </c>
      <c r="P10" s="16" t="e">
        <f t="shared" ca="1" si="0"/>
        <v>#REF!</v>
      </c>
      <c r="Q10" s="152" t="e">
        <f t="shared" ca="1" si="1"/>
        <v>#REF!</v>
      </c>
    </row>
    <row r="11" spans="3:24" ht="21.75" customHeight="1" x14ac:dyDescent="0.25">
      <c r="C11" s="14">
        <v>3</v>
      </c>
      <c r="D11" s="15" t="e">
        <f>+#REF!</f>
        <v>#REF!</v>
      </c>
      <c r="E11" s="15" t="e">
        <f>+#REF!</f>
        <v>#REF!</v>
      </c>
      <c r="F11" s="15" t="e">
        <f>+#REF!</f>
        <v>#REF!</v>
      </c>
      <c r="G11" s="15" t="e">
        <f>+#REF!</f>
        <v>#REF!</v>
      </c>
      <c r="H11" s="15" t="e">
        <f>+#REF!</f>
        <v>#REF!</v>
      </c>
      <c r="I11" s="15" t="e">
        <f>+#REF!</f>
        <v>#REF!</v>
      </c>
      <c r="J11" s="15" t="e">
        <f>+#REF!</f>
        <v>#REF!</v>
      </c>
      <c r="K11" s="15" t="e">
        <f>+#REF!</f>
        <v>#REF!</v>
      </c>
      <c r="L11" s="15" t="e">
        <f>+#REF!</f>
        <v>#REF!</v>
      </c>
      <c r="N11" t="s">
        <v>12</v>
      </c>
      <c r="O11" s="13" t="e">
        <f ca="1">+SUM(I8,OFFSET(I$8,0,0,$O$5+1))</f>
        <v>#REF!</v>
      </c>
      <c r="P11" s="16" t="e">
        <f t="shared" ca="1" si="0"/>
        <v>#REF!</v>
      </c>
      <c r="Q11" s="152" t="e">
        <f t="shared" ca="1" si="1"/>
        <v>#REF!</v>
      </c>
    </row>
    <row r="12" spans="3:24" ht="21.75" customHeight="1" x14ac:dyDescent="0.25">
      <c r="C12" s="14">
        <v>4</v>
      </c>
      <c r="D12" s="15" t="e">
        <f>+#REF!</f>
        <v>#REF!</v>
      </c>
      <c r="E12" s="15" t="e">
        <f>+#REF!</f>
        <v>#REF!</v>
      </c>
      <c r="F12" s="15" t="e">
        <f>+#REF!</f>
        <v>#REF!</v>
      </c>
      <c r="G12" s="15" t="e">
        <f>+#REF!</f>
        <v>#REF!</v>
      </c>
      <c r="H12" s="15" t="e">
        <f>+#REF!</f>
        <v>#REF!</v>
      </c>
      <c r="I12" s="15" t="e">
        <f>+#REF!</f>
        <v>#REF!</v>
      </c>
      <c r="J12" s="15" t="e">
        <f>+#REF!</f>
        <v>#REF!</v>
      </c>
      <c r="K12" s="15" t="e">
        <f>+#REF!</f>
        <v>#REF!</v>
      </c>
      <c r="L12" s="15" t="e">
        <f>+#REF!</f>
        <v>#REF!</v>
      </c>
      <c r="N12" t="s">
        <v>13</v>
      </c>
      <c r="O12" s="13" t="e">
        <f ca="1">+SUM(J8,OFFSET(J$8,0,0,$O$5+1))</f>
        <v>#REF!</v>
      </c>
      <c r="P12" s="16" t="e">
        <f t="shared" ca="1" si="0"/>
        <v>#REF!</v>
      </c>
      <c r="Q12" s="152" t="e">
        <f t="shared" ca="1" si="1"/>
        <v>#REF!</v>
      </c>
    </row>
    <row r="13" spans="3:24" ht="21.75" customHeight="1" x14ac:dyDescent="0.25">
      <c r="C13" s="14">
        <v>5</v>
      </c>
      <c r="D13" s="15" t="e">
        <f>+#REF!</f>
        <v>#REF!</v>
      </c>
      <c r="E13" s="15" t="e">
        <f>+#REF!</f>
        <v>#REF!</v>
      </c>
      <c r="F13" s="15" t="e">
        <f>+#REF!</f>
        <v>#REF!</v>
      </c>
      <c r="G13" s="15" t="e">
        <f>+#REF!</f>
        <v>#REF!</v>
      </c>
      <c r="H13" s="15" t="e">
        <f>+#REF!</f>
        <v>#REF!</v>
      </c>
      <c r="I13" s="15" t="e">
        <f>+#REF!</f>
        <v>#REF!</v>
      </c>
      <c r="J13" s="15" t="e">
        <f>+#REF!</f>
        <v>#REF!</v>
      </c>
      <c r="K13" s="15" t="e">
        <f>+#REF!</f>
        <v>#REF!</v>
      </c>
      <c r="L13" s="15" t="e">
        <f>+#REF!</f>
        <v>#REF!</v>
      </c>
      <c r="N13" t="s">
        <v>14</v>
      </c>
      <c r="O13" s="13" t="e">
        <f ca="1">+SUM(K8,OFFSET(K$8,0,0,$O$5+1))</f>
        <v>#REF!</v>
      </c>
      <c r="P13" s="16" t="e">
        <f t="shared" ca="1" si="0"/>
        <v>#REF!</v>
      </c>
      <c r="Q13" s="152" t="e">
        <f t="shared" ca="1" si="1"/>
        <v>#REF!</v>
      </c>
    </row>
    <row r="14" spans="3:24" ht="21.75" customHeight="1" x14ac:dyDescent="0.25">
      <c r="C14" s="14">
        <v>6</v>
      </c>
      <c r="D14" s="15" t="e">
        <f>+#REF!</f>
        <v>#REF!</v>
      </c>
      <c r="E14" s="15" t="e">
        <f>+#REF!</f>
        <v>#REF!</v>
      </c>
      <c r="F14" s="15" t="e">
        <f>+#REF!</f>
        <v>#REF!</v>
      </c>
      <c r="G14" s="15" t="e">
        <f>+#REF!</f>
        <v>#REF!</v>
      </c>
      <c r="H14" s="15" t="e">
        <f>+#REF!</f>
        <v>#REF!</v>
      </c>
      <c r="I14" s="15" t="e">
        <f>+#REF!</f>
        <v>#REF!</v>
      </c>
      <c r="J14" s="15" t="e">
        <f>+#REF!</f>
        <v>#REF!</v>
      </c>
      <c r="K14" s="15" t="e">
        <f>+#REF!</f>
        <v>#REF!</v>
      </c>
      <c r="L14" s="15" t="e">
        <f>+#REF!</f>
        <v>#REF!</v>
      </c>
      <c r="N14" t="s">
        <v>15</v>
      </c>
      <c r="O14" s="13" t="e">
        <f ca="1">+SUM(L8,OFFSET(L$8,0,0,$O$5+1))</f>
        <v>#REF!</v>
      </c>
      <c r="P14" s="16" t="e">
        <f t="shared" ca="1" si="0"/>
        <v>#REF!</v>
      </c>
      <c r="Q14" s="152" t="e">
        <f t="shared" ca="1" si="1"/>
        <v>#REF!</v>
      </c>
    </row>
    <row r="15" spans="3:24" ht="21.75" customHeight="1" x14ac:dyDescent="0.25">
      <c r="C15" s="14">
        <v>7</v>
      </c>
      <c r="D15" s="15" t="e">
        <f>+#REF!</f>
        <v>#REF!</v>
      </c>
      <c r="E15" s="15" t="e">
        <f>+#REF!</f>
        <v>#REF!</v>
      </c>
      <c r="F15" s="15" t="e">
        <f>+#REF!</f>
        <v>#REF!</v>
      </c>
      <c r="G15" s="15" t="e">
        <f>+#REF!</f>
        <v>#REF!</v>
      </c>
      <c r="H15" s="15" t="e">
        <f>+#REF!</f>
        <v>#REF!</v>
      </c>
      <c r="I15" s="15" t="e">
        <f>+#REF!</f>
        <v>#REF!</v>
      </c>
      <c r="J15" s="15" t="e">
        <f>+#REF!</f>
        <v>#REF!</v>
      </c>
      <c r="K15" s="15" t="e">
        <f>+#REF!</f>
        <v>#REF!</v>
      </c>
      <c r="L15" s="15" t="e">
        <f>+#REF!</f>
        <v>#REF!</v>
      </c>
    </row>
    <row r="16" spans="3:24" ht="21.75" customHeight="1" x14ac:dyDescent="0.25">
      <c r="C16" s="14">
        <v>8</v>
      </c>
      <c r="D16" s="15" t="e">
        <f>+#REF!</f>
        <v>#REF!</v>
      </c>
      <c r="E16" s="15" t="e">
        <f>+#REF!</f>
        <v>#REF!</v>
      </c>
      <c r="F16" s="15" t="e">
        <f>+#REF!</f>
        <v>#REF!</v>
      </c>
      <c r="G16" s="15" t="e">
        <f>+#REF!</f>
        <v>#REF!</v>
      </c>
      <c r="H16" s="15" t="e">
        <f>+#REF!</f>
        <v>#REF!</v>
      </c>
      <c r="I16" s="15" t="e">
        <f>+#REF!</f>
        <v>#REF!</v>
      </c>
      <c r="J16" s="15" t="e">
        <f>+#REF!</f>
        <v>#REF!</v>
      </c>
      <c r="K16" s="15" t="e">
        <f>+#REF!</f>
        <v>#REF!</v>
      </c>
      <c r="L16" s="15" t="e">
        <f>+#REF!</f>
        <v>#REF!</v>
      </c>
    </row>
    <row r="17" spans="3:12" ht="21.75" customHeight="1" x14ac:dyDescent="0.25">
      <c r="C17" s="14">
        <v>9</v>
      </c>
      <c r="D17" s="15" t="e">
        <f>+#REF!</f>
        <v>#REF!</v>
      </c>
      <c r="E17" s="15" t="e">
        <f>+#REF!</f>
        <v>#REF!</v>
      </c>
      <c r="F17" s="15" t="e">
        <f>+#REF!</f>
        <v>#REF!</v>
      </c>
      <c r="G17" s="15" t="e">
        <f>+#REF!</f>
        <v>#REF!</v>
      </c>
      <c r="H17" s="15" t="e">
        <f>+#REF!</f>
        <v>#REF!</v>
      </c>
      <c r="I17" s="15" t="e">
        <f>+#REF!</f>
        <v>#REF!</v>
      </c>
      <c r="J17" s="15" t="e">
        <f>+#REF!</f>
        <v>#REF!</v>
      </c>
      <c r="K17" s="15" t="e">
        <f>+#REF!</f>
        <v>#REF!</v>
      </c>
      <c r="L17" s="15" t="e">
        <f>+#REF!</f>
        <v>#REF!</v>
      </c>
    </row>
    <row r="18" spans="3:12" ht="21.75" customHeight="1" x14ac:dyDescent="0.25">
      <c r="C18" s="14">
        <v>10</v>
      </c>
      <c r="D18" s="15" t="e">
        <f>+#REF!</f>
        <v>#REF!</v>
      </c>
      <c r="E18" s="15" t="e">
        <f>+#REF!</f>
        <v>#REF!</v>
      </c>
      <c r="F18" s="15" t="e">
        <f>+#REF!</f>
        <v>#REF!</v>
      </c>
      <c r="G18" s="15" t="e">
        <f>+#REF!</f>
        <v>#REF!</v>
      </c>
      <c r="H18" s="15" t="e">
        <f>+#REF!</f>
        <v>#REF!</v>
      </c>
      <c r="I18" s="15" t="e">
        <f>+#REF!</f>
        <v>#REF!</v>
      </c>
      <c r="J18" s="15" t="e">
        <f>+#REF!</f>
        <v>#REF!</v>
      </c>
      <c r="K18" s="15" t="e">
        <f>+#REF!</f>
        <v>#REF!</v>
      </c>
      <c r="L18" s="15" t="e">
        <f>+#REF!</f>
        <v>#REF!</v>
      </c>
    </row>
    <row r="19" spans="3:12" ht="21.75" customHeight="1" x14ac:dyDescent="0.25">
      <c r="C19" s="14">
        <v>11</v>
      </c>
      <c r="D19" s="15" t="e">
        <f>+#REF!</f>
        <v>#REF!</v>
      </c>
      <c r="E19" s="15" t="e">
        <f>+#REF!</f>
        <v>#REF!</v>
      </c>
      <c r="F19" s="15" t="e">
        <f>+#REF!</f>
        <v>#REF!</v>
      </c>
      <c r="G19" s="15" t="e">
        <f>+#REF!</f>
        <v>#REF!</v>
      </c>
      <c r="H19" s="15" t="e">
        <f>+#REF!</f>
        <v>#REF!</v>
      </c>
      <c r="I19" s="15" t="e">
        <f>+#REF!</f>
        <v>#REF!</v>
      </c>
      <c r="J19" s="15" t="e">
        <f>+#REF!</f>
        <v>#REF!</v>
      </c>
      <c r="K19" s="15" t="e">
        <f>+#REF!</f>
        <v>#REF!</v>
      </c>
      <c r="L19" s="15" t="e">
        <f>+#REF!</f>
        <v>#REF!</v>
      </c>
    </row>
    <row r="20" spans="3:12" ht="21.75" customHeight="1" x14ac:dyDescent="0.25">
      <c r="C20" s="14">
        <v>12</v>
      </c>
      <c r="D20" s="15" t="e">
        <f>+#REF!</f>
        <v>#REF!</v>
      </c>
      <c r="E20" s="15" t="e">
        <f>+#REF!</f>
        <v>#REF!</v>
      </c>
      <c r="F20" s="15" t="e">
        <f>+#REF!</f>
        <v>#REF!</v>
      </c>
      <c r="G20" s="15" t="e">
        <f>+#REF!</f>
        <v>#REF!</v>
      </c>
      <c r="H20" s="15" t="e">
        <f>+#REF!</f>
        <v>#REF!</v>
      </c>
      <c r="I20" s="15" t="e">
        <f>+#REF!</f>
        <v>#REF!</v>
      </c>
      <c r="J20" s="15" t="e">
        <f>+#REF!</f>
        <v>#REF!</v>
      </c>
      <c r="K20" s="15" t="e">
        <f>+#REF!</f>
        <v>#REF!</v>
      </c>
      <c r="L20" s="15" t="e">
        <f>+#REF!</f>
        <v>#REF!</v>
      </c>
    </row>
    <row r="21" spans="3:12" ht="21.75" customHeight="1" x14ac:dyDescent="0.25">
      <c r="C21" s="14">
        <v>13</v>
      </c>
      <c r="D21" s="15" t="e">
        <f>+#REF!</f>
        <v>#REF!</v>
      </c>
      <c r="E21" s="15" t="e">
        <f>+#REF!</f>
        <v>#REF!</v>
      </c>
      <c r="F21" s="15" t="e">
        <f>+#REF!</f>
        <v>#REF!</v>
      </c>
      <c r="G21" s="15" t="e">
        <f>+#REF!</f>
        <v>#REF!</v>
      </c>
      <c r="H21" s="15" t="e">
        <f>+#REF!</f>
        <v>#REF!</v>
      </c>
      <c r="I21" s="15" t="e">
        <f>+#REF!</f>
        <v>#REF!</v>
      </c>
      <c r="J21" s="15" t="e">
        <f>+#REF!</f>
        <v>#REF!</v>
      </c>
      <c r="K21" s="15" t="e">
        <f>+#REF!</f>
        <v>#REF!</v>
      </c>
      <c r="L21" s="15" t="e">
        <f>+#REF!</f>
        <v>#REF!</v>
      </c>
    </row>
    <row r="22" spans="3:12" ht="21.75" customHeight="1" x14ac:dyDescent="0.25">
      <c r="C22" s="14">
        <v>14</v>
      </c>
      <c r="D22" s="15" t="e">
        <f>+#REF!</f>
        <v>#REF!</v>
      </c>
      <c r="E22" s="15" t="e">
        <f>+#REF!</f>
        <v>#REF!</v>
      </c>
      <c r="F22" s="15" t="e">
        <f>+#REF!</f>
        <v>#REF!</v>
      </c>
      <c r="G22" s="15" t="e">
        <f>+#REF!</f>
        <v>#REF!</v>
      </c>
      <c r="H22" s="15" t="e">
        <f>+#REF!</f>
        <v>#REF!</v>
      </c>
      <c r="I22" s="15" t="e">
        <f>+#REF!</f>
        <v>#REF!</v>
      </c>
      <c r="J22" s="15" t="e">
        <f>+#REF!</f>
        <v>#REF!</v>
      </c>
      <c r="K22" s="15" t="e">
        <f>+#REF!</f>
        <v>#REF!</v>
      </c>
      <c r="L22" s="15" t="e">
        <f>+#REF!</f>
        <v>#REF!</v>
      </c>
    </row>
    <row r="23" spans="3:12" ht="21.75" customHeight="1" x14ac:dyDescent="0.25">
      <c r="C23" s="14">
        <v>15</v>
      </c>
      <c r="D23" s="15" t="e">
        <f>+#REF!</f>
        <v>#REF!</v>
      </c>
      <c r="E23" s="15" t="e">
        <f>+#REF!</f>
        <v>#REF!</v>
      </c>
      <c r="F23" s="15" t="e">
        <f>+#REF!</f>
        <v>#REF!</v>
      </c>
      <c r="G23" s="15" t="e">
        <f>+#REF!</f>
        <v>#REF!</v>
      </c>
      <c r="H23" s="15" t="e">
        <f>+#REF!</f>
        <v>#REF!</v>
      </c>
      <c r="I23" s="15" t="e">
        <f>+#REF!</f>
        <v>#REF!</v>
      </c>
      <c r="J23" s="15" t="e">
        <f>+#REF!</f>
        <v>#REF!</v>
      </c>
      <c r="K23" s="15" t="e">
        <f>+#REF!</f>
        <v>#REF!</v>
      </c>
      <c r="L23" s="15" t="e">
        <f>+#REF!</f>
        <v>#REF!</v>
      </c>
    </row>
    <row r="24" spans="3:12" ht="21.75" customHeight="1" x14ac:dyDescent="0.25">
      <c r="C24" s="14">
        <v>16</v>
      </c>
      <c r="D24" s="15" t="e">
        <f>+#REF!</f>
        <v>#REF!</v>
      </c>
      <c r="E24" s="15" t="e">
        <f>+#REF!</f>
        <v>#REF!</v>
      </c>
      <c r="F24" s="15" t="e">
        <f>+#REF!</f>
        <v>#REF!</v>
      </c>
      <c r="G24" s="15" t="e">
        <f>+#REF!</f>
        <v>#REF!</v>
      </c>
      <c r="H24" s="15" t="e">
        <f>+#REF!</f>
        <v>#REF!</v>
      </c>
      <c r="I24" s="15" t="e">
        <f>+#REF!</f>
        <v>#REF!</v>
      </c>
      <c r="J24" s="15" t="e">
        <f>+#REF!</f>
        <v>#REF!</v>
      </c>
      <c r="K24" s="15" t="e">
        <f>+#REF!</f>
        <v>#REF!</v>
      </c>
      <c r="L24" s="15" t="e">
        <f>+#REF!</f>
        <v>#REF!</v>
      </c>
    </row>
    <row r="25" spans="3:12" ht="21.75" customHeight="1" x14ac:dyDescent="0.25">
      <c r="C25" s="14">
        <v>17</v>
      </c>
      <c r="D25" s="15" t="e">
        <f>+#REF!</f>
        <v>#REF!</v>
      </c>
      <c r="E25" s="15" t="e">
        <f>+#REF!</f>
        <v>#REF!</v>
      </c>
      <c r="F25" s="15" t="e">
        <f>+#REF!</f>
        <v>#REF!</v>
      </c>
      <c r="G25" s="15" t="e">
        <f>+#REF!</f>
        <v>#REF!</v>
      </c>
      <c r="H25" s="15" t="e">
        <f>+#REF!</f>
        <v>#REF!</v>
      </c>
      <c r="I25" s="15" t="e">
        <f>+#REF!</f>
        <v>#REF!</v>
      </c>
      <c r="J25" s="15" t="e">
        <f>+#REF!</f>
        <v>#REF!</v>
      </c>
      <c r="K25" s="15" t="e">
        <f>+#REF!</f>
        <v>#REF!</v>
      </c>
      <c r="L25" s="15" t="e">
        <f>+#REF!</f>
        <v>#REF!</v>
      </c>
    </row>
    <row r="26" spans="3:12" ht="21.75" customHeight="1" x14ac:dyDescent="0.25">
      <c r="C26" s="14">
        <v>18</v>
      </c>
      <c r="D26" s="15" t="e">
        <f>+#REF!</f>
        <v>#REF!</v>
      </c>
      <c r="E26" s="15" t="e">
        <f>+#REF!</f>
        <v>#REF!</v>
      </c>
      <c r="F26" s="15" t="e">
        <f>+#REF!</f>
        <v>#REF!</v>
      </c>
      <c r="G26" s="15" t="e">
        <f>+#REF!</f>
        <v>#REF!</v>
      </c>
      <c r="H26" s="15" t="e">
        <f>+#REF!</f>
        <v>#REF!</v>
      </c>
      <c r="I26" s="15" t="e">
        <f>+#REF!</f>
        <v>#REF!</v>
      </c>
      <c r="J26" s="15" t="e">
        <f>+#REF!</f>
        <v>#REF!</v>
      </c>
      <c r="K26" s="15" t="e">
        <f>+#REF!</f>
        <v>#REF!</v>
      </c>
      <c r="L26" s="15" t="e">
        <f>+#REF!</f>
        <v>#REF!</v>
      </c>
    </row>
    <row r="27" spans="3:12" ht="21.75" customHeight="1" x14ac:dyDescent="0.25">
      <c r="C27" s="14">
        <v>19</v>
      </c>
      <c r="D27" s="15" t="e">
        <f>+#REF!</f>
        <v>#REF!</v>
      </c>
      <c r="E27" s="15" t="e">
        <f>+#REF!</f>
        <v>#REF!</v>
      </c>
      <c r="F27" s="15" t="e">
        <f>+#REF!</f>
        <v>#REF!</v>
      </c>
      <c r="G27" s="15" t="e">
        <f>+#REF!</f>
        <v>#REF!</v>
      </c>
      <c r="H27" s="15" t="e">
        <f>+#REF!</f>
        <v>#REF!</v>
      </c>
      <c r="I27" s="15" t="e">
        <f>+#REF!</f>
        <v>#REF!</v>
      </c>
      <c r="J27" s="15" t="e">
        <f>+#REF!</f>
        <v>#REF!</v>
      </c>
      <c r="K27" s="15" t="e">
        <f>+#REF!</f>
        <v>#REF!</v>
      </c>
      <c r="L27" s="15" t="e">
        <f>+#REF!</f>
        <v>#REF!</v>
      </c>
    </row>
    <row r="28" spans="3:12" ht="21.75" customHeight="1" x14ac:dyDescent="0.25">
      <c r="C28" s="14">
        <v>20</v>
      </c>
      <c r="D28" s="15" t="e">
        <f>+#REF!</f>
        <v>#REF!</v>
      </c>
      <c r="E28" s="15" t="e">
        <f>+#REF!</f>
        <v>#REF!</v>
      </c>
      <c r="F28" s="15" t="e">
        <f>+#REF!</f>
        <v>#REF!</v>
      </c>
      <c r="G28" s="15" t="e">
        <f>+#REF!</f>
        <v>#REF!</v>
      </c>
      <c r="H28" s="15" t="e">
        <f>+#REF!</f>
        <v>#REF!</v>
      </c>
      <c r="I28" s="15" t="e">
        <f>+#REF!</f>
        <v>#REF!</v>
      </c>
      <c r="J28" s="15" t="e">
        <f>+#REF!</f>
        <v>#REF!</v>
      </c>
      <c r="K28" s="15" t="e">
        <f>+#REF!</f>
        <v>#REF!</v>
      </c>
      <c r="L28" s="15" t="e">
        <f>+#REF!</f>
        <v>#REF!</v>
      </c>
    </row>
    <row r="29" spans="3:12" ht="21.75" customHeight="1" x14ac:dyDescent="0.25">
      <c r="C29" s="14">
        <v>21</v>
      </c>
      <c r="D29" s="15" t="e">
        <f>+#REF!</f>
        <v>#REF!</v>
      </c>
      <c r="E29" s="15" t="e">
        <f>+#REF!</f>
        <v>#REF!</v>
      </c>
      <c r="F29" s="15" t="e">
        <f>+#REF!</f>
        <v>#REF!</v>
      </c>
      <c r="G29" s="15" t="e">
        <f>+#REF!</f>
        <v>#REF!</v>
      </c>
      <c r="H29" s="15" t="e">
        <f>+#REF!</f>
        <v>#REF!</v>
      </c>
      <c r="I29" s="15" t="e">
        <f>+#REF!</f>
        <v>#REF!</v>
      </c>
      <c r="J29" s="15" t="e">
        <f>+#REF!</f>
        <v>#REF!</v>
      </c>
      <c r="K29" s="15" t="e">
        <f>+#REF!</f>
        <v>#REF!</v>
      </c>
      <c r="L29" s="15" t="e">
        <f>+#REF!</f>
        <v>#REF!</v>
      </c>
    </row>
    <row r="30" spans="3:12" ht="21.75" customHeight="1" x14ac:dyDescent="0.25">
      <c r="C30" s="14">
        <v>22</v>
      </c>
      <c r="D30" s="15" t="e">
        <f>+#REF!</f>
        <v>#REF!</v>
      </c>
      <c r="E30" s="15" t="e">
        <f>+#REF!</f>
        <v>#REF!</v>
      </c>
      <c r="F30" s="15" t="e">
        <f>+#REF!</f>
        <v>#REF!</v>
      </c>
      <c r="G30" s="15" t="e">
        <f>+#REF!</f>
        <v>#REF!</v>
      </c>
      <c r="H30" s="15" t="e">
        <f>+#REF!</f>
        <v>#REF!</v>
      </c>
      <c r="I30" s="15" t="e">
        <f>+#REF!</f>
        <v>#REF!</v>
      </c>
      <c r="J30" s="15" t="e">
        <f>+#REF!</f>
        <v>#REF!</v>
      </c>
      <c r="K30" s="15" t="e">
        <f>+#REF!</f>
        <v>#REF!</v>
      </c>
      <c r="L30" s="15" t="e">
        <f>+#REF!</f>
        <v>#REF!</v>
      </c>
    </row>
    <row r="31" spans="3:12" ht="21.75" customHeight="1" x14ac:dyDescent="0.25">
      <c r="C31" s="14">
        <v>23</v>
      </c>
      <c r="D31" s="15" t="e">
        <f>+#REF!</f>
        <v>#REF!</v>
      </c>
      <c r="E31" s="15" t="e">
        <f>+#REF!</f>
        <v>#REF!</v>
      </c>
      <c r="F31" s="15" t="e">
        <f>+#REF!</f>
        <v>#REF!</v>
      </c>
      <c r="G31" s="15" t="e">
        <f>+#REF!</f>
        <v>#REF!</v>
      </c>
      <c r="H31" s="15" t="e">
        <f>+#REF!</f>
        <v>#REF!</v>
      </c>
      <c r="I31" s="15" t="e">
        <f>+#REF!</f>
        <v>#REF!</v>
      </c>
      <c r="J31" s="15" t="e">
        <f>+#REF!</f>
        <v>#REF!</v>
      </c>
      <c r="K31" s="15" t="e">
        <f>+#REF!</f>
        <v>#REF!</v>
      </c>
      <c r="L31" s="15" t="e">
        <f>+#REF!</f>
        <v>#REF!</v>
      </c>
    </row>
    <row r="32" spans="3:12" ht="21.75" customHeight="1" x14ac:dyDescent="0.25">
      <c r="C32" s="14">
        <v>24</v>
      </c>
      <c r="D32" s="15" t="e">
        <f>+#REF!</f>
        <v>#REF!</v>
      </c>
      <c r="E32" s="15" t="e">
        <f>+#REF!</f>
        <v>#REF!</v>
      </c>
      <c r="F32" s="15" t="e">
        <f>+#REF!</f>
        <v>#REF!</v>
      </c>
      <c r="G32" s="15" t="e">
        <f>+#REF!</f>
        <v>#REF!</v>
      </c>
      <c r="H32" s="15" t="e">
        <f>+#REF!</f>
        <v>#REF!</v>
      </c>
      <c r="I32" s="15" t="e">
        <f>+#REF!</f>
        <v>#REF!</v>
      </c>
      <c r="J32" s="15" t="e">
        <f>+#REF!</f>
        <v>#REF!</v>
      </c>
      <c r="K32" s="15" t="e">
        <f>+#REF!</f>
        <v>#REF!</v>
      </c>
      <c r="L32" s="15" t="e">
        <f>+#REF!</f>
        <v>#REF!</v>
      </c>
    </row>
    <row r="33" spans="3:12" ht="21.75" customHeight="1" x14ac:dyDescent="0.25">
      <c r="C33" s="14">
        <v>25</v>
      </c>
      <c r="D33" s="15" t="e">
        <f>+#REF!</f>
        <v>#REF!</v>
      </c>
      <c r="E33" s="15" t="e">
        <f>+#REF!</f>
        <v>#REF!</v>
      </c>
      <c r="F33" s="15" t="e">
        <f>+#REF!</f>
        <v>#REF!</v>
      </c>
      <c r="G33" s="15" t="e">
        <f>+#REF!</f>
        <v>#REF!</v>
      </c>
      <c r="H33" s="15" t="e">
        <f>+#REF!</f>
        <v>#REF!</v>
      </c>
      <c r="I33" s="15" t="e">
        <f>+#REF!</f>
        <v>#REF!</v>
      </c>
      <c r="J33" s="15" t="e">
        <f>+#REF!</f>
        <v>#REF!</v>
      </c>
      <c r="K33" s="15" t="e">
        <f>+#REF!</f>
        <v>#REF!</v>
      </c>
      <c r="L33" s="15" t="e">
        <f>+#REF!</f>
        <v>#REF!</v>
      </c>
    </row>
    <row r="34" spans="3:12" ht="21.75" customHeight="1" x14ac:dyDescent="0.25">
      <c r="C34" s="14">
        <v>26</v>
      </c>
      <c r="D34" s="15" t="e">
        <f>+#REF!</f>
        <v>#REF!</v>
      </c>
      <c r="E34" s="15" t="e">
        <f>+#REF!</f>
        <v>#REF!</v>
      </c>
      <c r="F34" s="15" t="e">
        <f>+#REF!</f>
        <v>#REF!</v>
      </c>
      <c r="G34" s="15" t="e">
        <f>+#REF!</f>
        <v>#REF!</v>
      </c>
      <c r="H34" s="15" t="e">
        <f>+#REF!</f>
        <v>#REF!</v>
      </c>
      <c r="I34" s="15" t="e">
        <f>+#REF!</f>
        <v>#REF!</v>
      </c>
      <c r="J34" s="15" t="e">
        <f>+#REF!</f>
        <v>#REF!</v>
      </c>
      <c r="K34" s="15" t="e">
        <f>+#REF!</f>
        <v>#REF!</v>
      </c>
      <c r="L34" s="15" t="e">
        <f>+#REF!</f>
        <v>#REF!</v>
      </c>
    </row>
    <row r="35" spans="3:12" ht="21.75" customHeight="1" x14ac:dyDescent="0.25">
      <c r="C35" s="14">
        <v>27</v>
      </c>
      <c r="D35" s="15" t="e">
        <f>+#REF!</f>
        <v>#REF!</v>
      </c>
      <c r="E35" s="15" t="e">
        <f>+#REF!</f>
        <v>#REF!</v>
      </c>
      <c r="F35" s="15" t="e">
        <f>+#REF!</f>
        <v>#REF!</v>
      </c>
      <c r="G35" s="15" t="e">
        <f>+#REF!</f>
        <v>#REF!</v>
      </c>
      <c r="H35" s="15" t="e">
        <f>+#REF!</f>
        <v>#REF!</v>
      </c>
      <c r="I35" s="15" t="e">
        <f>+#REF!</f>
        <v>#REF!</v>
      </c>
      <c r="J35" s="15" t="e">
        <f>+#REF!</f>
        <v>#REF!</v>
      </c>
      <c r="K35" s="15" t="e">
        <f>+#REF!</f>
        <v>#REF!</v>
      </c>
      <c r="L35" s="15" t="e">
        <f>+#REF!</f>
        <v>#REF!</v>
      </c>
    </row>
    <row r="36" spans="3:12" ht="21.75" customHeight="1" x14ac:dyDescent="0.25">
      <c r="C36" s="14">
        <v>28</v>
      </c>
      <c r="D36" s="15" t="e">
        <f>+#REF!</f>
        <v>#REF!</v>
      </c>
      <c r="E36" s="15" t="e">
        <f>+#REF!</f>
        <v>#REF!</v>
      </c>
      <c r="F36" s="15" t="e">
        <f>+#REF!</f>
        <v>#REF!</v>
      </c>
      <c r="G36" s="15" t="e">
        <f>+#REF!</f>
        <v>#REF!</v>
      </c>
      <c r="H36" s="15" t="e">
        <f>+#REF!</f>
        <v>#REF!</v>
      </c>
      <c r="I36" s="15" t="e">
        <f>+#REF!</f>
        <v>#REF!</v>
      </c>
      <c r="J36" s="15" t="e">
        <f>+#REF!</f>
        <v>#REF!</v>
      </c>
      <c r="K36" s="15" t="e">
        <f>+#REF!</f>
        <v>#REF!</v>
      </c>
      <c r="L36" s="15" t="e">
        <f>+#REF!</f>
        <v>#REF!</v>
      </c>
    </row>
    <row r="37" spans="3:12" ht="21.75" customHeight="1" x14ac:dyDescent="0.25">
      <c r="C37" s="14">
        <v>29</v>
      </c>
      <c r="D37" s="15" t="e">
        <f>+#REF!</f>
        <v>#REF!</v>
      </c>
      <c r="E37" s="15" t="e">
        <f>+#REF!</f>
        <v>#REF!</v>
      </c>
      <c r="F37" s="15" t="e">
        <f>+#REF!</f>
        <v>#REF!</v>
      </c>
      <c r="G37" s="15" t="e">
        <f>+#REF!</f>
        <v>#REF!</v>
      </c>
      <c r="H37" s="15" t="e">
        <f>+#REF!</f>
        <v>#REF!</v>
      </c>
      <c r="I37" s="15" t="e">
        <f>+#REF!</f>
        <v>#REF!</v>
      </c>
      <c r="J37" s="15" t="e">
        <f>+#REF!</f>
        <v>#REF!</v>
      </c>
      <c r="K37" s="15" t="e">
        <f>+#REF!</f>
        <v>#REF!</v>
      </c>
      <c r="L37" s="15" t="e">
        <f>+#REF!</f>
        <v>#REF!</v>
      </c>
    </row>
    <row r="38" spans="3:12" ht="21.75" customHeight="1" x14ac:dyDescent="0.25">
      <c r="C38" s="14">
        <v>30</v>
      </c>
      <c r="D38" s="15" t="e">
        <f>+#REF!</f>
        <v>#REF!</v>
      </c>
      <c r="E38" s="15" t="e">
        <f>+#REF!</f>
        <v>#REF!</v>
      </c>
      <c r="F38" s="15" t="e">
        <f>+#REF!</f>
        <v>#REF!</v>
      </c>
      <c r="G38" s="15" t="e">
        <f>+#REF!</f>
        <v>#REF!</v>
      </c>
      <c r="H38" s="15" t="e">
        <f>+#REF!</f>
        <v>#REF!</v>
      </c>
      <c r="I38" s="15" t="e">
        <f>+#REF!</f>
        <v>#REF!</v>
      </c>
      <c r="J38" s="15" t="e">
        <f>+#REF!</f>
        <v>#REF!</v>
      </c>
      <c r="K38" s="15" t="e">
        <f>+#REF!</f>
        <v>#REF!</v>
      </c>
      <c r="L38" s="15" t="e">
        <f>+#REF!</f>
        <v>#REF!</v>
      </c>
    </row>
    <row r="39" spans="3:12" ht="21.75" customHeight="1" x14ac:dyDescent="0.25">
      <c r="C39" s="14">
        <v>31</v>
      </c>
      <c r="D39" s="15" t="e">
        <f>+#REF!</f>
        <v>#REF!</v>
      </c>
      <c r="E39" s="15" t="e">
        <f>+#REF!</f>
        <v>#REF!</v>
      </c>
      <c r="F39" s="15" t="e">
        <f>+#REF!</f>
        <v>#REF!</v>
      </c>
      <c r="G39" s="15" t="e">
        <f>+#REF!</f>
        <v>#REF!</v>
      </c>
      <c r="H39" s="15" t="e">
        <f>+#REF!</f>
        <v>#REF!</v>
      </c>
      <c r="I39" s="15" t="e">
        <f>+#REF!</f>
        <v>#REF!</v>
      </c>
      <c r="J39" s="15" t="e">
        <f>+#REF!</f>
        <v>#REF!</v>
      </c>
      <c r="K39" s="15" t="e">
        <f>+#REF!</f>
        <v>#REF!</v>
      </c>
      <c r="L39" s="15" t="e">
        <f>+#REF!</f>
        <v>#REF!</v>
      </c>
    </row>
    <row r="40" spans="3:12" ht="21.75" customHeight="1" x14ac:dyDescent="0.25">
      <c r="C40" s="14">
        <v>32</v>
      </c>
      <c r="D40" s="15" t="e">
        <f>+#REF!</f>
        <v>#REF!</v>
      </c>
      <c r="E40" s="15" t="e">
        <f>+#REF!</f>
        <v>#REF!</v>
      </c>
      <c r="F40" s="15" t="e">
        <f>+#REF!</f>
        <v>#REF!</v>
      </c>
      <c r="G40" s="15" t="e">
        <f>+#REF!</f>
        <v>#REF!</v>
      </c>
      <c r="H40" s="15" t="e">
        <f>+#REF!</f>
        <v>#REF!</v>
      </c>
      <c r="I40" s="15" t="e">
        <f>+#REF!</f>
        <v>#REF!</v>
      </c>
      <c r="J40" s="15" t="e">
        <f>+#REF!</f>
        <v>#REF!</v>
      </c>
      <c r="K40" s="15" t="e">
        <f>+#REF!</f>
        <v>#REF!</v>
      </c>
      <c r="L40" s="15" t="e">
        <f>+#REF!</f>
        <v>#REF!</v>
      </c>
    </row>
    <row r="41" spans="3:12" ht="21.75" customHeight="1" x14ac:dyDescent="0.25">
      <c r="C41" s="14">
        <v>33</v>
      </c>
      <c r="D41" s="15" t="e">
        <f>+#REF!</f>
        <v>#REF!</v>
      </c>
      <c r="E41" s="15" t="e">
        <f>+#REF!</f>
        <v>#REF!</v>
      </c>
      <c r="F41" s="15" t="e">
        <f>+#REF!</f>
        <v>#REF!</v>
      </c>
      <c r="G41" s="15" t="e">
        <f>+#REF!</f>
        <v>#REF!</v>
      </c>
      <c r="H41" s="15" t="e">
        <f>+#REF!</f>
        <v>#REF!</v>
      </c>
      <c r="I41" s="15" t="e">
        <f>+#REF!</f>
        <v>#REF!</v>
      </c>
      <c r="J41" s="15" t="e">
        <f>+#REF!</f>
        <v>#REF!</v>
      </c>
      <c r="K41" s="15" t="e">
        <f>+#REF!</f>
        <v>#REF!</v>
      </c>
      <c r="L41" s="15" t="e">
        <f>+#REF!</f>
        <v>#REF!</v>
      </c>
    </row>
    <row r="42" spans="3:12" ht="21.75" customHeight="1" x14ac:dyDescent="0.25">
      <c r="C42" s="14">
        <v>34</v>
      </c>
      <c r="D42" s="15" t="e">
        <f>+#REF!</f>
        <v>#REF!</v>
      </c>
      <c r="E42" s="15" t="e">
        <f>+#REF!</f>
        <v>#REF!</v>
      </c>
      <c r="F42" s="15" t="e">
        <f>+#REF!</f>
        <v>#REF!</v>
      </c>
      <c r="G42" s="15" t="e">
        <f>+#REF!</f>
        <v>#REF!</v>
      </c>
      <c r="H42" s="15" t="e">
        <f>+#REF!</f>
        <v>#REF!</v>
      </c>
      <c r="I42" s="15" t="e">
        <f>+#REF!</f>
        <v>#REF!</v>
      </c>
      <c r="J42" s="15" t="e">
        <f>+#REF!</f>
        <v>#REF!</v>
      </c>
      <c r="K42" s="15" t="e">
        <f>+#REF!</f>
        <v>#REF!</v>
      </c>
      <c r="L42" s="15" t="e">
        <f>+#REF!</f>
        <v>#REF!</v>
      </c>
    </row>
    <row r="43" spans="3:12" ht="21.75" customHeight="1" x14ac:dyDescent="0.25">
      <c r="C43" s="14">
        <v>35</v>
      </c>
      <c r="D43" s="15" t="e">
        <f>+#REF!</f>
        <v>#REF!</v>
      </c>
      <c r="E43" s="15" t="e">
        <f>+#REF!</f>
        <v>#REF!</v>
      </c>
      <c r="F43" s="15" t="e">
        <f>+#REF!</f>
        <v>#REF!</v>
      </c>
      <c r="G43" s="15" t="e">
        <f>+#REF!</f>
        <v>#REF!</v>
      </c>
      <c r="H43" s="15" t="e">
        <f>+#REF!</f>
        <v>#REF!</v>
      </c>
      <c r="I43" s="15" t="e">
        <f>+#REF!</f>
        <v>#REF!</v>
      </c>
      <c r="J43" s="15" t="e">
        <f>+#REF!</f>
        <v>#REF!</v>
      </c>
      <c r="K43" s="15" t="e">
        <f>+#REF!</f>
        <v>#REF!</v>
      </c>
      <c r="L43" s="15" t="e">
        <f>+#REF!</f>
        <v>#REF!</v>
      </c>
    </row>
    <row r="44" spans="3:12" ht="21.75" customHeight="1" x14ac:dyDescent="0.25">
      <c r="C44" s="14">
        <v>36</v>
      </c>
      <c r="D44" s="15" t="e">
        <f>+#REF!</f>
        <v>#REF!</v>
      </c>
      <c r="E44" s="15" t="e">
        <f>+#REF!</f>
        <v>#REF!</v>
      </c>
      <c r="F44" s="15" t="e">
        <f>+#REF!</f>
        <v>#REF!</v>
      </c>
      <c r="G44" s="15" t="e">
        <f>+#REF!</f>
        <v>#REF!</v>
      </c>
      <c r="H44" s="15" t="e">
        <f>+#REF!</f>
        <v>#REF!</v>
      </c>
      <c r="I44" s="15" t="e">
        <f>+#REF!</f>
        <v>#REF!</v>
      </c>
      <c r="J44" s="15" t="e">
        <f>+#REF!</f>
        <v>#REF!</v>
      </c>
      <c r="K44" s="15" t="e">
        <f>+#REF!</f>
        <v>#REF!</v>
      </c>
      <c r="L44" s="15" t="e">
        <f>+#REF!</f>
        <v>#REF!</v>
      </c>
    </row>
    <row r="45" spans="3:12" ht="21.75" customHeight="1" x14ac:dyDescent="0.25">
      <c r="C45" s="14">
        <v>37</v>
      </c>
      <c r="D45" s="15" t="e">
        <f>+#REF!</f>
        <v>#REF!</v>
      </c>
      <c r="E45" s="15" t="e">
        <f>+#REF!</f>
        <v>#REF!</v>
      </c>
      <c r="F45" s="15" t="e">
        <f>+#REF!</f>
        <v>#REF!</v>
      </c>
      <c r="G45" s="15" t="e">
        <f>+#REF!</f>
        <v>#REF!</v>
      </c>
      <c r="H45" s="15" t="e">
        <f>+#REF!</f>
        <v>#REF!</v>
      </c>
      <c r="I45" s="15" t="e">
        <f>+#REF!</f>
        <v>#REF!</v>
      </c>
      <c r="J45" s="15" t="e">
        <f>+#REF!</f>
        <v>#REF!</v>
      </c>
      <c r="K45" s="15" t="e">
        <f>+#REF!</f>
        <v>#REF!</v>
      </c>
      <c r="L45" s="15" t="e">
        <f>+#REF!</f>
        <v>#REF!</v>
      </c>
    </row>
    <row r="46" spans="3:12" ht="21.75" customHeight="1" x14ac:dyDescent="0.25">
      <c r="C46" s="14">
        <v>38</v>
      </c>
      <c r="D46" s="15" t="e">
        <f>+#REF!</f>
        <v>#REF!</v>
      </c>
      <c r="E46" s="15" t="e">
        <f>+#REF!</f>
        <v>#REF!</v>
      </c>
      <c r="F46" s="15" t="e">
        <f>+#REF!</f>
        <v>#REF!</v>
      </c>
      <c r="G46" s="15" t="e">
        <f>+#REF!</f>
        <v>#REF!</v>
      </c>
      <c r="H46" s="15" t="e">
        <f>+#REF!</f>
        <v>#REF!</v>
      </c>
      <c r="I46" s="15" t="e">
        <f>+#REF!</f>
        <v>#REF!</v>
      </c>
      <c r="J46" s="15" t="e">
        <f>+#REF!</f>
        <v>#REF!</v>
      </c>
      <c r="K46" s="15" t="e">
        <f>+#REF!</f>
        <v>#REF!</v>
      </c>
      <c r="L46" s="15" t="e">
        <f>+#REF!</f>
        <v>#REF!</v>
      </c>
    </row>
    <row r="47" spans="3:12" ht="21.75" customHeight="1" x14ac:dyDescent="0.25">
      <c r="C47" s="14">
        <v>39</v>
      </c>
      <c r="D47" s="15" t="e">
        <f>+#REF!</f>
        <v>#REF!</v>
      </c>
      <c r="E47" s="15" t="e">
        <f>+#REF!</f>
        <v>#REF!</v>
      </c>
      <c r="F47" s="15" t="e">
        <f>+#REF!</f>
        <v>#REF!</v>
      </c>
      <c r="G47" s="15" t="e">
        <f>+#REF!</f>
        <v>#REF!</v>
      </c>
      <c r="H47" s="15" t="e">
        <f>+#REF!</f>
        <v>#REF!</v>
      </c>
      <c r="I47" s="15" t="e">
        <f>+#REF!</f>
        <v>#REF!</v>
      </c>
      <c r="J47" s="15" t="e">
        <f>+#REF!</f>
        <v>#REF!</v>
      </c>
      <c r="K47" s="15" t="e">
        <f>+#REF!</f>
        <v>#REF!</v>
      </c>
      <c r="L47" s="15" t="e">
        <f>+#REF!</f>
        <v>#REF!</v>
      </c>
    </row>
    <row r="48" spans="3:12" ht="21.75" customHeight="1" x14ac:dyDescent="0.25">
      <c r="C48" s="14">
        <v>40</v>
      </c>
      <c r="D48" s="15" t="e">
        <f>+#REF!</f>
        <v>#REF!</v>
      </c>
      <c r="E48" s="15" t="e">
        <f>+#REF!</f>
        <v>#REF!</v>
      </c>
      <c r="F48" s="15" t="e">
        <f>+#REF!</f>
        <v>#REF!</v>
      </c>
      <c r="G48" s="15" t="e">
        <f>+#REF!</f>
        <v>#REF!</v>
      </c>
      <c r="H48" s="15" t="e">
        <f>+#REF!</f>
        <v>#REF!</v>
      </c>
      <c r="I48" s="15" t="e">
        <f>+#REF!</f>
        <v>#REF!</v>
      </c>
      <c r="J48" s="15" t="e">
        <f>+#REF!</f>
        <v>#REF!</v>
      </c>
      <c r="K48" s="15" t="e">
        <f>+#REF!</f>
        <v>#REF!</v>
      </c>
      <c r="L48" s="15" t="e">
        <f>+#REF!</f>
        <v>#REF!</v>
      </c>
    </row>
    <row r="49" spans="3:12" ht="21.75" customHeight="1" x14ac:dyDescent="0.25">
      <c r="C49" s="14">
        <v>41</v>
      </c>
      <c r="D49" s="15" t="e">
        <f>+#REF!</f>
        <v>#REF!</v>
      </c>
      <c r="E49" s="15" t="e">
        <f>+#REF!</f>
        <v>#REF!</v>
      </c>
      <c r="F49" s="15" t="e">
        <f>+#REF!</f>
        <v>#REF!</v>
      </c>
      <c r="G49" s="15" t="e">
        <f>+#REF!</f>
        <v>#REF!</v>
      </c>
      <c r="H49" s="15" t="e">
        <f>+#REF!</f>
        <v>#REF!</v>
      </c>
      <c r="I49" s="15" t="e">
        <f>+#REF!</f>
        <v>#REF!</v>
      </c>
      <c r="J49" s="15" t="e">
        <f>+#REF!</f>
        <v>#REF!</v>
      </c>
      <c r="K49" s="15" t="e">
        <f>+#REF!</f>
        <v>#REF!</v>
      </c>
      <c r="L49" s="15" t="e">
        <f>+#REF!</f>
        <v>#REF!</v>
      </c>
    </row>
    <row r="50" spans="3:12" ht="21.75" customHeight="1" x14ac:dyDescent="0.25">
      <c r="C50" s="14">
        <v>42</v>
      </c>
      <c r="D50" s="15" t="e">
        <f>+#REF!</f>
        <v>#REF!</v>
      </c>
      <c r="E50" s="15" t="e">
        <f>+#REF!</f>
        <v>#REF!</v>
      </c>
      <c r="F50" s="15" t="e">
        <f>+#REF!</f>
        <v>#REF!</v>
      </c>
      <c r="G50" s="15" t="e">
        <f>+#REF!</f>
        <v>#REF!</v>
      </c>
      <c r="H50" s="15" t="e">
        <f>+#REF!</f>
        <v>#REF!</v>
      </c>
      <c r="I50" s="15" t="e">
        <f>+#REF!</f>
        <v>#REF!</v>
      </c>
      <c r="J50" s="15" t="e">
        <f>+#REF!</f>
        <v>#REF!</v>
      </c>
      <c r="K50" s="15" t="e">
        <f>+#REF!</f>
        <v>#REF!</v>
      </c>
      <c r="L50" s="15" t="e">
        <f>+#REF!</f>
        <v>#REF!</v>
      </c>
    </row>
    <row r="51" spans="3:12" ht="21.75" customHeight="1" x14ac:dyDescent="0.25">
      <c r="C51" s="14">
        <v>43</v>
      </c>
      <c r="D51" s="15" t="e">
        <f>+#REF!</f>
        <v>#REF!</v>
      </c>
      <c r="E51" s="15" t="e">
        <f>+#REF!</f>
        <v>#REF!</v>
      </c>
      <c r="F51" s="15" t="e">
        <f>+#REF!</f>
        <v>#REF!</v>
      </c>
      <c r="G51" s="15" t="e">
        <f>+#REF!</f>
        <v>#REF!</v>
      </c>
      <c r="H51" s="15" t="e">
        <f>+#REF!</f>
        <v>#REF!</v>
      </c>
      <c r="I51" s="15" t="e">
        <f>+#REF!</f>
        <v>#REF!</v>
      </c>
      <c r="J51" s="15" t="e">
        <f>+#REF!</f>
        <v>#REF!</v>
      </c>
      <c r="K51" s="15" t="e">
        <f>+#REF!</f>
        <v>#REF!</v>
      </c>
      <c r="L51" s="15" t="e">
        <f>+#REF!</f>
        <v>#REF!</v>
      </c>
    </row>
    <row r="52" spans="3:12" ht="21.75" customHeight="1" x14ac:dyDescent="0.25">
      <c r="C52" s="14">
        <v>44</v>
      </c>
      <c r="D52" s="15" t="e">
        <f>+#REF!</f>
        <v>#REF!</v>
      </c>
      <c r="E52" s="15" t="e">
        <f>+#REF!</f>
        <v>#REF!</v>
      </c>
      <c r="F52" s="15" t="e">
        <f>+#REF!</f>
        <v>#REF!</v>
      </c>
      <c r="G52" s="15" t="e">
        <f>+#REF!</f>
        <v>#REF!</v>
      </c>
      <c r="H52" s="15" t="e">
        <f>+#REF!</f>
        <v>#REF!</v>
      </c>
      <c r="I52" s="15" t="e">
        <f>+#REF!</f>
        <v>#REF!</v>
      </c>
      <c r="J52" s="15" t="e">
        <f>+#REF!</f>
        <v>#REF!</v>
      </c>
      <c r="K52" s="15" t="e">
        <f>+#REF!</f>
        <v>#REF!</v>
      </c>
      <c r="L52" s="15" t="e">
        <f>+#REF!</f>
        <v>#REF!</v>
      </c>
    </row>
    <row r="53" spans="3:12" ht="21.75" customHeight="1" x14ac:dyDescent="0.25">
      <c r="C53" s="14">
        <v>45</v>
      </c>
      <c r="D53" s="15" t="e">
        <f>+#REF!</f>
        <v>#REF!</v>
      </c>
      <c r="E53" s="15" t="e">
        <f>+#REF!</f>
        <v>#REF!</v>
      </c>
      <c r="F53" s="15" t="e">
        <f>+#REF!</f>
        <v>#REF!</v>
      </c>
      <c r="G53" s="15" t="e">
        <f>+#REF!</f>
        <v>#REF!</v>
      </c>
      <c r="H53" s="15" t="e">
        <f>+#REF!</f>
        <v>#REF!</v>
      </c>
      <c r="I53" s="15" t="e">
        <f>+#REF!</f>
        <v>#REF!</v>
      </c>
      <c r="J53" s="15" t="e">
        <f>+#REF!</f>
        <v>#REF!</v>
      </c>
      <c r="K53" s="15" t="e">
        <f>+#REF!</f>
        <v>#REF!</v>
      </c>
      <c r="L53" s="15" t="e">
        <f>+#REF!</f>
        <v>#REF!</v>
      </c>
    </row>
    <row r="54" spans="3:12" ht="21.75" customHeight="1" x14ac:dyDescent="0.25">
      <c r="C54" s="14">
        <v>46</v>
      </c>
      <c r="D54" s="15" t="e">
        <f>+#REF!</f>
        <v>#REF!</v>
      </c>
      <c r="E54" s="15" t="e">
        <f>+#REF!</f>
        <v>#REF!</v>
      </c>
      <c r="F54" s="15" t="e">
        <f>+#REF!</f>
        <v>#REF!</v>
      </c>
      <c r="G54" s="15" t="e">
        <f>+#REF!</f>
        <v>#REF!</v>
      </c>
      <c r="H54" s="15" t="e">
        <f>+#REF!</f>
        <v>#REF!</v>
      </c>
      <c r="I54" s="15" t="e">
        <f>+#REF!</f>
        <v>#REF!</v>
      </c>
      <c r="J54" s="15" t="e">
        <f>+#REF!</f>
        <v>#REF!</v>
      </c>
      <c r="K54" s="15" t="e">
        <f>+#REF!</f>
        <v>#REF!</v>
      </c>
      <c r="L54" s="15" t="e">
        <f>+#REF!</f>
        <v>#REF!</v>
      </c>
    </row>
    <row r="55" spans="3:12" ht="21.75" customHeight="1" x14ac:dyDescent="0.25">
      <c r="C55" s="14">
        <v>47</v>
      </c>
      <c r="D55" s="15" t="e">
        <f>+#REF!</f>
        <v>#REF!</v>
      </c>
      <c r="E55" s="15" t="e">
        <f>+#REF!</f>
        <v>#REF!</v>
      </c>
      <c r="F55" s="15" t="e">
        <f>+#REF!</f>
        <v>#REF!</v>
      </c>
      <c r="G55" s="15" t="e">
        <f>+#REF!</f>
        <v>#REF!</v>
      </c>
      <c r="H55" s="15" t="e">
        <f>+#REF!</f>
        <v>#REF!</v>
      </c>
      <c r="I55" s="15" t="e">
        <f>+#REF!</f>
        <v>#REF!</v>
      </c>
      <c r="J55" s="15" t="e">
        <f>+#REF!</f>
        <v>#REF!</v>
      </c>
      <c r="K55" s="15" t="e">
        <f>+#REF!</f>
        <v>#REF!</v>
      </c>
      <c r="L55" s="15" t="e">
        <f>+#REF!</f>
        <v>#REF!</v>
      </c>
    </row>
    <row r="56" spans="3:12" ht="21.75" customHeight="1" x14ac:dyDescent="0.25">
      <c r="C56" s="14">
        <v>48</v>
      </c>
      <c r="D56" s="15" t="e">
        <f>+#REF!</f>
        <v>#REF!</v>
      </c>
      <c r="E56" s="15" t="e">
        <f>+#REF!</f>
        <v>#REF!</v>
      </c>
      <c r="F56" s="15" t="e">
        <f>+#REF!</f>
        <v>#REF!</v>
      </c>
      <c r="G56" s="15" t="e">
        <f>+#REF!</f>
        <v>#REF!</v>
      </c>
      <c r="H56" s="15" t="e">
        <f>+#REF!</f>
        <v>#REF!</v>
      </c>
      <c r="I56" s="15" t="e">
        <f>+#REF!</f>
        <v>#REF!</v>
      </c>
      <c r="J56" s="15" t="e">
        <f>+#REF!</f>
        <v>#REF!</v>
      </c>
      <c r="K56" s="15" t="e">
        <f>+#REF!</f>
        <v>#REF!</v>
      </c>
      <c r="L56" s="15" t="e">
        <f>+#REF!</f>
        <v>#REF!</v>
      </c>
    </row>
    <row r="57" spans="3:12" ht="21.75" customHeight="1" x14ac:dyDescent="0.25">
      <c r="C57" s="14">
        <v>49</v>
      </c>
      <c r="D57" s="15" t="e">
        <f>+#REF!</f>
        <v>#REF!</v>
      </c>
      <c r="E57" s="15" t="e">
        <f>+#REF!</f>
        <v>#REF!</v>
      </c>
      <c r="F57" s="15" t="e">
        <f>+#REF!</f>
        <v>#REF!</v>
      </c>
      <c r="G57" s="15" t="e">
        <f>+#REF!</f>
        <v>#REF!</v>
      </c>
      <c r="H57" s="15" t="e">
        <f>+#REF!</f>
        <v>#REF!</v>
      </c>
      <c r="I57" s="15" t="e">
        <f>+#REF!</f>
        <v>#REF!</v>
      </c>
      <c r="J57" s="15" t="e">
        <f>+#REF!</f>
        <v>#REF!</v>
      </c>
      <c r="K57" s="15" t="e">
        <f>+#REF!</f>
        <v>#REF!</v>
      </c>
      <c r="L57" s="15" t="e">
        <f>+#REF!</f>
        <v>#REF!</v>
      </c>
    </row>
    <row r="58" spans="3:12" ht="21.75" customHeight="1" x14ac:dyDescent="0.25">
      <c r="C58" s="14">
        <v>50</v>
      </c>
      <c r="D58" s="15" t="e">
        <f>+#REF!</f>
        <v>#REF!</v>
      </c>
      <c r="E58" s="15" t="e">
        <f>+#REF!</f>
        <v>#REF!</v>
      </c>
      <c r="F58" s="15" t="e">
        <f>+#REF!</f>
        <v>#REF!</v>
      </c>
      <c r="G58" s="15" t="e">
        <f>+#REF!</f>
        <v>#REF!</v>
      </c>
      <c r="H58" s="15" t="e">
        <f>+#REF!</f>
        <v>#REF!</v>
      </c>
      <c r="I58" s="15" t="e">
        <f>+#REF!</f>
        <v>#REF!</v>
      </c>
      <c r="J58" s="15" t="e">
        <f>+#REF!</f>
        <v>#REF!</v>
      </c>
      <c r="K58" s="15" t="e">
        <f>+#REF!</f>
        <v>#REF!</v>
      </c>
      <c r="L58" s="15" t="e">
        <f>+#REF!</f>
        <v>#REF!</v>
      </c>
    </row>
    <row r="59" spans="3:12" ht="21.75" customHeight="1" x14ac:dyDescent="0.25">
      <c r="C59" s="14">
        <v>51</v>
      </c>
      <c r="D59" s="15" t="e">
        <f>+#REF!</f>
        <v>#REF!</v>
      </c>
      <c r="E59" s="15" t="e">
        <f>+#REF!</f>
        <v>#REF!</v>
      </c>
      <c r="F59" s="15" t="e">
        <f>+#REF!</f>
        <v>#REF!</v>
      </c>
      <c r="G59" s="15" t="e">
        <f>+#REF!</f>
        <v>#REF!</v>
      </c>
      <c r="H59" s="15" t="e">
        <f>+#REF!</f>
        <v>#REF!</v>
      </c>
      <c r="I59" s="15" t="e">
        <f>+#REF!</f>
        <v>#REF!</v>
      </c>
      <c r="J59" s="15" t="e">
        <f>+#REF!</f>
        <v>#REF!</v>
      </c>
      <c r="K59" s="15" t="e">
        <f>+#REF!</f>
        <v>#REF!</v>
      </c>
      <c r="L59" s="15" t="e">
        <f>+#REF!</f>
        <v>#REF!</v>
      </c>
    </row>
    <row r="60" spans="3:12" ht="21.75" customHeight="1" x14ac:dyDescent="0.25">
      <c r="C60" s="14">
        <v>52</v>
      </c>
      <c r="D60" s="15" t="e">
        <f>+#REF!</f>
        <v>#REF!</v>
      </c>
      <c r="E60" s="15" t="e">
        <f>+#REF!</f>
        <v>#REF!</v>
      </c>
      <c r="F60" s="15" t="e">
        <f>+#REF!</f>
        <v>#REF!</v>
      </c>
      <c r="G60" s="15" t="e">
        <f>+#REF!</f>
        <v>#REF!</v>
      </c>
      <c r="H60" s="15" t="e">
        <f>+#REF!</f>
        <v>#REF!</v>
      </c>
      <c r="I60" s="15" t="e">
        <f>+#REF!</f>
        <v>#REF!</v>
      </c>
      <c r="J60" s="15" t="e">
        <f>+#REF!</f>
        <v>#REF!</v>
      </c>
      <c r="K60" s="15" t="e">
        <f>+#REF!</f>
        <v>#REF!</v>
      </c>
      <c r="L60" s="15" t="e">
        <f>+#REF!</f>
        <v>#REF!</v>
      </c>
    </row>
    <row r="61" spans="3:12" ht="21.75" customHeight="1" x14ac:dyDescent="0.25">
      <c r="C61" s="14">
        <v>53</v>
      </c>
      <c r="D61" s="15" t="e">
        <f>+#REF!</f>
        <v>#REF!</v>
      </c>
      <c r="E61" s="15" t="e">
        <f>+#REF!</f>
        <v>#REF!</v>
      </c>
      <c r="F61" s="15" t="e">
        <f>+#REF!</f>
        <v>#REF!</v>
      </c>
      <c r="G61" s="15" t="e">
        <f>+#REF!</f>
        <v>#REF!</v>
      </c>
      <c r="H61" s="15" t="e">
        <f>+#REF!</f>
        <v>#REF!</v>
      </c>
      <c r="I61" s="15" t="e">
        <f>+#REF!</f>
        <v>#REF!</v>
      </c>
      <c r="J61" s="15" t="e">
        <f>+#REF!</f>
        <v>#REF!</v>
      </c>
      <c r="K61" s="15" t="e">
        <f>+#REF!</f>
        <v>#REF!</v>
      </c>
      <c r="L61" s="15" t="e">
        <f>+#REF!</f>
        <v>#REF!</v>
      </c>
    </row>
    <row r="62" spans="3:12" ht="21.75" customHeight="1" x14ac:dyDescent="0.25">
      <c r="C62" s="14">
        <v>54</v>
      </c>
      <c r="D62" s="15" t="e">
        <f>+#REF!</f>
        <v>#REF!</v>
      </c>
      <c r="E62" s="15" t="e">
        <f>+#REF!</f>
        <v>#REF!</v>
      </c>
      <c r="F62" s="15" t="e">
        <f>+#REF!</f>
        <v>#REF!</v>
      </c>
      <c r="G62" s="15" t="e">
        <f>+#REF!</f>
        <v>#REF!</v>
      </c>
      <c r="H62" s="15" t="e">
        <f>+#REF!</f>
        <v>#REF!</v>
      </c>
      <c r="I62" s="15" t="e">
        <f>+#REF!</f>
        <v>#REF!</v>
      </c>
      <c r="J62" s="15" t="e">
        <f>+#REF!</f>
        <v>#REF!</v>
      </c>
      <c r="K62" s="15" t="e">
        <f>+#REF!</f>
        <v>#REF!</v>
      </c>
      <c r="L62" s="15" t="e">
        <f>+#REF!</f>
        <v>#REF!</v>
      </c>
    </row>
    <row r="63" spans="3:12" ht="21.75" customHeight="1" x14ac:dyDescent="0.25">
      <c r="C63" s="14">
        <v>55</v>
      </c>
      <c r="D63" s="15" t="e">
        <f>+#REF!</f>
        <v>#REF!</v>
      </c>
      <c r="E63" s="15" t="e">
        <f>+#REF!</f>
        <v>#REF!</v>
      </c>
      <c r="F63" s="15" t="e">
        <f>+#REF!</f>
        <v>#REF!</v>
      </c>
      <c r="G63" s="15" t="e">
        <f>+#REF!</f>
        <v>#REF!</v>
      </c>
      <c r="H63" s="15" t="e">
        <f>+#REF!</f>
        <v>#REF!</v>
      </c>
      <c r="I63" s="15" t="e">
        <f>+#REF!</f>
        <v>#REF!</v>
      </c>
      <c r="J63" s="15" t="e">
        <f>+#REF!</f>
        <v>#REF!</v>
      </c>
      <c r="K63" s="15" t="e">
        <f>+#REF!</f>
        <v>#REF!</v>
      </c>
      <c r="L63" s="15" t="e">
        <f>+#REF!</f>
        <v>#REF!</v>
      </c>
    </row>
    <row r="64" spans="3:12" ht="21.75" customHeight="1" x14ac:dyDescent="0.25">
      <c r="C64" s="14">
        <v>56</v>
      </c>
      <c r="D64" s="15" t="e">
        <f>+#REF!</f>
        <v>#REF!</v>
      </c>
      <c r="E64" s="15" t="e">
        <f>+#REF!</f>
        <v>#REF!</v>
      </c>
      <c r="F64" s="15" t="e">
        <f>+#REF!</f>
        <v>#REF!</v>
      </c>
      <c r="G64" s="15" t="e">
        <f>+#REF!</f>
        <v>#REF!</v>
      </c>
      <c r="H64" s="15" t="e">
        <f>+#REF!</f>
        <v>#REF!</v>
      </c>
      <c r="I64" s="15" t="e">
        <f>+#REF!</f>
        <v>#REF!</v>
      </c>
      <c r="J64" s="15" t="e">
        <f>+#REF!</f>
        <v>#REF!</v>
      </c>
      <c r="K64" s="15" t="e">
        <f>+#REF!</f>
        <v>#REF!</v>
      </c>
      <c r="L64" s="15" t="e">
        <f>+#REF!</f>
        <v>#REF!</v>
      </c>
    </row>
    <row r="65" spans="3:12" ht="21.75" customHeight="1" x14ac:dyDescent="0.25">
      <c r="C65" s="14">
        <v>57</v>
      </c>
      <c r="D65" s="15" t="e">
        <f>+#REF!</f>
        <v>#REF!</v>
      </c>
      <c r="E65" s="15" t="e">
        <f>+#REF!</f>
        <v>#REF!</v>
      </c>
      <c r="F65" s="15" t="e">
        <f>+#REF!</f>
        <v>#REF!</v>
      </c>
      <c r="G65" s="15" t="e">
        <f>+#REF!</f>
        <v>#REF!</v>
      </c>
      <c r="H65" s="15" t="e">
        <f>+#REF!</f>
        <v>#REF!</v>
      </c>
      <c r="I65" s="15" t="e">
        <f>+#REF!</f>
        <v>#REF!</v>
      </c>
      <c r="J65" s="15" t="e">
        <f>+#REF!</f>
        <v>#REF!</v>
      </c>
      <c r="K65" s="15" t="e">
        <f>+#REF!</f>
        <v>#REF!</v>
      </c>
      <c r="L65" s="15" t="e">
        <f>+#REF!</f>
        <v>#REF!</v>
      </c>
    </row>
    <row r="66" spans="3:12" ht="21.75" customHeight="1" x14ac:dyDescent="0.25">
      <c r="C66" s="14">
        <v>58</v>
      </c>
      <c r="D66" s="15" t="e">
        <f>+#REF!</f>
        <v>#REF!</v>
      </c>
      <c r="E66" s="15" t="e">
        <f>+#REF!</f>
        <v>#REF!</v>
      </c>
      <c r="F66" s="15" t="e">
        <f>+#REF!</f>
        <v>#REF!</v>
      </c>
      <c r="G66" s="15" t="e">
        <f>+#REF!</f>
        <v>#REF!</v>
      </c>
      <c r="H66" s="15" t="e">
        <f>+#REF!</f>
        <v>#REF!</v>
      </c>
      <c r="I66" s="15" t="e">
        <f>+#REF!</f>
        <v>#REF!</v>
      </c>
      <c r="J66" s="15" t="e">
        <f>+#REF!</f>
        <v>#REF!</v>
      </c>
      <c r="K66" s="15" t="e">
        <f>+#REF!</f>
        <v>#REF!</v>
      </c>
      <c r="L66" s="15" t="e">
        <f>+#REF!</f>
        <v>#REF!</v>
      </c>
    </row>
    <row r="67" spans="3:12" ht="21.75" customHeight="1" x14ac:dyDescent="0.25">
      <c r="C67" s="14">
        <v>59</v>
      </c>
      <c r="D67" s="15" t="e">
        <f>+#REF!</f>
        <v>#REF!</v>
      </c>
      <c r="E67" s="15" t="e">
        <f>+#REF!</f>
        <v>#REF!</v>
      </c>
      <c r="F67" s="15" t="e">
        <f>+#REF!</f>
        <v>#REF!</v>
      </c>
      <c r="G67" s="15" t="e">
        <f>+#REF!</f>
        <v>#REF!</v>
      </c>
      <c r="H67" s="15" t="e">
        <f>+#REF!</f>
        <v>#REF!</v>
      </c>
      <c r="I67" s="15" t="e">
        <f>+#REF!</f>
        <v>#REF!</v>
      </c>
      <c r="J67" s="15" t="e">
        <f>+#REF!</f>
        <v>#REF!</v>
      </c>
      <c r="K67" s="15" t="e">
        <f>+#REF!</f>
        <v>#REF!</v>
      </c>
      <c r="L67" s="15" t="e">
        <f>+#REF!</f>
        <v>#REF!</v>
      </c>
    </row>
    <row r="68" spans="3:12" ht="21.75" customHeight="1" x14ac:dyDescent="0.25">
      <c r="C68" s="14">
        <v>60</v>
      </c>
      <c r="D68" s="15" t="e">
        <f>+#REF!</f>
        <v>#REF!</v>
      </c>
      <c r="E68" s="15" t="e">
        <f>+#REF!</f>
        <v>#REF!</v>
      </c>
      <c r="F68" s="15" t="e">
        <f>+#REF!</f>
        <v>#REF!</v>
      </c>
      <c r="G68" s="15" t="e">
        <f>+#REF!</f>
        <v>#REF!</v>
      </c>
      <c r="H68" s="15" t="e">
        <f>+#REF!</f>
        <v>#REF!</v>
      </c>
      <c r="I68" s="15" t="e">
        <f>+#REF!</f>
        <v>#REF!</v>
      </c>
      <c r="J68" s="15" t="e">
        <f>+#REF!</f>
        <v>#REF!</v>
      </c>
      <c r="K68" s="15" t="e">
        <f>+#REF!</f>
        <v>#REF!</v>
      </c>
      <c r="L68" s="15" t="e">
        <f>+#REF!</f>
        <v>#REF!</v>
      </c>
    </row>
    <row r="69" spans="3:12" ht="21.75" customHeight="1" x14ac:dyDescent="0.25">
      <c r="C69" s="14">
        <v>61</v>
      </c>
      <c r="D69" s="15" t="e">
        <f>+#REF!</f>
        <v>#REF!</v>
      </c>
      <c r="E69" s="15" t="e">
        <f>+#REF!</f>
        <v>#REF!</v>
      </c>
      <c r="F69" s="15" t="e">
        <f>+#REF!</f>
        <v>#REF!</v>
      </c>
      <c r="G69" s="15" t="e">
        <f>+#REF!</f>
        <v>#REF!</v>
      </c>
      <c r="H69" s="15" t="e">
        <f>+#REF!</f>
        <v>#REF!</v>
      </c>
      <c r="I69" s="15" t="e">
        <f>+#REF!</f>
        <v>#REF!</v>
      </c>
      <c r="J69" s="15" t="e">
        <f>+#REF!</f>
        <v>#REF!</v>
      </c>
      <c r="K69" s="15" t="e">
        <f>+#REF!</f>
        <v>#REF!</v>
      </c>
      <c r="L69" s="15" t="e">
        <f>+#REF!</f>
        <v>#REF!</v>
      </c>
    </row>
    <row r="70" spans="3:12" ht="21.75" customHeight="1" x14ac:dyDescent="0.25">
      <c r="C70" s="14">
        <v>62</v>
      </c>
      <c r="D70" s="15" t="e">
        <f>+#REF!</f>
        <v>#REF!</v>
      </c>
      <c r="E70" s="15" t="e">
        <f>+#REF!</f>
        <v>#REF!</v>
      </c>
      <c r="F70" s="15" t="e">
        <f>+#REF!</f>
        <v>#REF!</v>
      </c>
      <c r="G70" s="15" t="e">
        <f>+#REF!</f>
        <v>#REF!</v>
      </c>
      <c r="H70" s="15" t="e">
        <f>+#REF!</f>
        <v>#REF!</v>
      </c>
      <c r="I70" s="15" t="e">
        <f>+#REF!</f>
        <v>#REF!</v>
      </c>
      <c r="J70" s="15" t="e">
        <f>+#REF!</f>
        <v>#REF!</v>
      </c>
      <c r="K70" s="15" t="e">
        <f>+#REF!</f>
        <v>#REF!</v>
      </c>
      <c r="L70" s="15" t="e">
        <f>+#REF!</f>
        <v>#REF!</v>
      </c>
    </row>
    <row r="71" spans="3:12" ht="21.75" customHeight="1" x14ac:dyDescent="0.25">
      <c r="C71" s="14">
        <v>63</v>
      </c>
      <c r="D71" s="15" t="e">
        <f>+#REF!</f>
        <v>#REF!</v>
      </c>
      <c r="E71" s="15" t="e">
        <f>+#REF!</f>
        <v>#REF!</v>
      </c>
      <c r="F71" s="15" t="e">
        <f>+#REF!</f>
        <v>#REF!</v>
      </c>
      <c r="G71" s="15" t="e">
        <f>+#REF!</f>
        <v>#REF!</v>
      </c>
      <c r="H71" s="15" t="e">
        <f>+#REF!</f>
        <v>#REF!</v>
      </c>
      <c r="I71" s="15" t="e">
        <f>+#REF!</f>
        <v>#REF!</v>
      </c>
      <c r="J71" s="15" t="e">
        <f>+#REF!</f>
        <v>#REF!</v>
      </c>
      <c r="K71" s="15" t="e">
        <f>+#REF!</f>
        <v>#REF!</v>
      </c>
      <c r="L71" s="15" t="e">
        <f>+#REF!</f>
        <v>#REF!</v>
      </c>
    </row>
    <row r="72" spans="3:12" ht="21.75" customHeight="1" x14ac:dyDescent="0.25">
      <c r="C72" s="14">
        <v>64</v>
      </c>
      <c r="D72" s="15" t="e">
        <f>+#REF!</f>
        <v>#REF!</v>
      </c>
      <c r="E72" s="15" t="e">
        <f>+#REF!</f>
        <v>#REF!</v>
      </c>
      <c r="F72" s="15" t="e">
        <f>+#REF!</f>
        <v>#REF!</v>
      </c>
      <c r="G72" s="15" t="e">
        <f>+#REF!</f>
        <v>#REF!</v>
      </c>
      <c r="H72" s="15" t="e">
        <f>+#REF!</f>
        <v>#REF!</v>
      </c>
      <c r="I72" s="15" t="e">
        <f>+#REF!</f>
        <v>#REF!</v>
      </c>
      <c r="J72" s="15" t="e">
        <f>+#REF!</f>
        <v>#REF!</v>
      </c>
      <c r="K72" s="15" t="e">
        <f>+#REF!</f>
        <v>#REF!</v>
      </c>
      <c r="L72" s="15" t="e">
        <f>+#REF!</f>
        <v>#REF!</v>
      </c>
    </row>
    <row r="73" spans="3:12" ht="21.75" customHeight="1" x14ac:dyDescent="0.25">
      <c r="C73" s="14">
        <v>65</v>
      </c>
      <c r="D73" s="15" t="e">
        <f>+#REF!</f>
        <v>#REF!</v>
      </c>
      <c r="E73" s="15" t="e">
        <f>+#REF!</f>
        <v>#REF!</v>
      </c>
      <c r="F73" s="15" t="e">
        <f>+#REF!</f>
        <v>#REF!</v>
      </c>
      <c r="G73" s="15" t="e">
        <f>+#REF!</f>
        <v>#REF!</v>
      </c>
      <c r="H73" s="15" t="e">
        <f>+#REF!</f>
        <v>#REF!</v>
      </c>
      <c r="I73" s="15" t="e">
        <f>+#REF!</f>
        <v>#REF!</v>
      </c>
      <c r="J73" s="15" t="e">
        <f>+#REF!</f>
        <v>#REF!</v>
      </c>
      <c r="K73" s="15" t="e">
        <f>+#REF!</f>
        <v>#REF!</v>
      </c>
      <c r="L73" s="15" t="e">
        <f>+#REF!</f>
        <v>#REF!</v>
      </c>
    </row>
    <row r="74" spans="3:12" ht="21.75" customHeight="1" x14ac:dyDescent="0.25">
      <c r="C74" s="14">
        <v>66</v>
      </c>
      <c r="D74" s="15" t="e">
        <f>+#REF!</f>
        <v>#REF!</v>
      </c>
      <c r="E74" s="15" t="e">
        <f>+#REF!</f>
        <v>#REF!</v>
      </c>
      <c r="F74" s="15" t="e">
        <f>+#REF!</f>
        <v>#REF!</v>
      </c>
      <c r="G74" s="15" t="e">
        <f>+#REF!</f>
        <v>#REF!</v>
      </c>
      <c r="H74" s="15" t="e">
        <f>+#REF!</f>
        <v>#REF!</v>
      </c>
      <c r="I74" s="15" t="e">
        <f>+#REF!</f>
        <v>#REF!</v>
      </c>
      <c r="J74" s="15" t="e">
        <f>+#REF!</f>
        <v>#REF!</v>
      </c>
      <c r="K74" s="15" t="e">
        <f>+#REF!</f>
        <v>#REF!</v>
      </c>
      <c r="L74" s="15" t="e">
        <f>+#REF!</f>
        <v>#REF!</v>
      </c>
    </row>
    <row r="75" spans="3:12" ht="21.75" customHeight="1" x14ac:dyDescent="0.25">
      <c r="C75" s="14">
        <v>67</v>
      </c>
      <c r="D75" s="15" t="e">
        <f>+#REF!</f>
        <v>#REF!</v>
      </c>
      <c r="E75" s="15" t="e">
        <f>+#REF!</f>
        <v>#REF!</v>
      </c>
      <c r="F75" s="15" t="e">
        <f>+#REF!</f>
        <v>#REF!</v>
      </c>
      <c r="G75" s="15" t="e">
        <f>+#REF!</f>
        <v>#REF!</v>
      </c>
      <c r="H75" s="15" t="e">
        <f>+#REF!</f>
        <v>#REF!</v>
      </c>
      <c r="I75" s="15" t="e">
        <f>+#REF!</f>
        <v>#REF!</v>
      </c>
      <c r="J75" s="15" t="e">
        <f>+#REF!</f>
        <v>#REF!</v>
      </c>
      <c r="K75" s="15" t="e">
        <f>+#REF!</f>
        <v>#REF!</v>
      </c>
      <c r="L75" s="15" t="e">
        <f>+#REF!</f>
        <v>#REF!</v>
      </c>
    </row>
    <row r="76" spans="3:12" ht="21.75" customHeight="1" x14ac:dyDescent="0.25">
      <c r="C76" s="14">
        <v>68</v>
      </c>
      <c r="D76" s="15" t="e">
        <f>+#REF!</f>
        <v>#REF!</v>
      </c>
      <c r="E76" s="15" t="e">
        <f>+#REF!</f>
        <v>#REF!</v>
      </c>
      <c r="F76" s="15" t="e">
        <f>+#REF!</f>
        <v>#REF!</v>
      </c>
      <c r="G76" s="15" t="e">
        <f>+#REF!</f>
        <v>#REF!</v>
      </c>
      <c r="H76" s="15" t="e">
        <f>+#REF!</f>
        <v>#REF!</v>
      </c>
      <c r="I76" s="15" t="e">
        <f>+#REF!</f>
        <v>#REF!</v>
      </c>
      <c r="J76" s="15" t="e">
        <f>+#REF!</f>
        <v>#REF!</v>
      </c>
      <c r="K76" s="15" t="e">
        <f>+#REF!</f>
        <v>#REF!</v>
      </c>
      <c r="L76" s="15" t="e">
        <f>+#REF!</f>
        <v>#REF!</v>
      </c>
    </row>
    <row r="77" spans="3:12" ht="21.75" customHeight="1" x14ac:dyDescent="0.25">
      <c r="C77" s="14">
        <v>69</v>
      </c>
      <c r="D77" s="15" t="e">
        <f>+#REF!</f>
        <v>#REF!</v>
      </c>
      <c r="E77" s="15" t="e">
        <f>+#REF!</f>
        <v>#REF!</v>
      </c>
      <c r="F77" s="15" t="e">
        <f>+#REF!</f>
        <v>#REF!</v>
      </c>
      <c r="G77" s="15" t="e">
        <f>+#REF!</f>
        <v>#REF!</v>
      </c>
      <c r="H77" s="15" t="e">
        <f>+#REF!</f>
        <v>#REF!</v>
      </c>
      <c r="I77" s="15" t="e">
        <f>+#REF!</f>
        <v>#REF!</v>
      </c>
      <c r="J77" s="15" t="e">
        <f>+#REF!</f>
        <v>#REF!</v>
      </c>
      <c r="K77" s="15" t="e">
        <f>+#REF!</f>
        <v>#REF!</v>
      </c>
      <c r="L77" s="15" t="e">
        <f>+#REF!</f>
        <v>#REF!</v>
      </c>
    </row>
    <row r="78" spans="3:12" ht="21.75" customHeight="1" x14ac:dyDescent="0.25">
      <c r="C78" s="14">
        <v>70</v>
      </c>
      <c r="D78" s="15" t="e">
        <f>+#REF!</f>
        <v>#REF!</v>
      </c>
      <c r="E78" s="15" t="e">
        <f>+#REF!</f>
        <v>#REF!</v>
      </c>
      <c r="F78" s="15" t="e">
        <f>+#REF!</f>
        <v>#REF!</v>
      </c>
      <c r="G78" s="15" t="e">
        <f>+#REF!</f>
        <v>#REF!</v>
      </c>
      <c r="H78" s="15" t="e">
        <f>+#REF!</f>
        <v>#REF!</v>
      </c>
      <c r="I78" s="15" t="e">
        <f>+#REF!</f>
        <v>#REF!</v>
      </c>
      <c r="J78" s="15" t="e">
        <f>+#REF!</f>
        <v>#REF!</v>
      </c>
      <c r="K78" s="15" t="e">
        <f>+#REF!</f>
        <v>#REF!</v>
      </c>
      <c r="L78" s="15" t="e">
        <f>+#REF!</f>
        <v>#REF!</v>
      </c>
    </row>
    <row r="79" spans="3:12" ht="21.75" customHeight="1" x14ac:dyDescent="0.25">
      <c r="C79" s="14">
        <v>71</v>
      </c>
      <c r="D79" s="15" t="e">
        <f>+#REF!</f>
        <v>#REF!</v>
      </c>
      <c r="E79" s="15" t="e">
        <f>+#REF!</f>
        <v>#REF!</v>
      </c>
      <c r="F79" s="15" t="e">
        <f>+#REF!</f>
        <v>#REF!</v>
      </c>
      <c r="G79" s="15" t="e">
        <f>+#REF!</f>
        <v>#REF!</v>
      </c>
      <c r="H79" s="15" t="e">
        <f>+#REF!</f>
        <v>#REF!</v>
      </c>
      <c r="I79" s="15" t="e">
        <f>+#REF!</f>
        <v>#REF!</v>
      </c>
      <c r="J79" s="15" t="e">
        <f>+#REF!</f>
        <v>#REF!</v>
      </c>
      <c r="K79" s="15" t="e">
        <f>+#REF!</f>
        <v>#REF!</v>
      </c>
      <c r="L79" s="15" t="e">
        <f>+#REF!</f>
        <v>#REF!</v>
      </c>
    </row>
    <row r="80" spans="3:12" ht="21.75" customHeight="1" x14ac:dyDescent="0.25">
      <c r="C80" s="14">
        <v>72</v>
      </c>
      <c r="D80" s="15" t="e">
        <f>+#REF!</f>
        <v>#REF!</v>
      </c>
      <c r="E80" s="15" t="e">
        <f>+#REF!</f>
        <v>#REF!</v>
      </c>
      <c r="F80" s="15" t="e">
        <f>+#REF!</f>
        <v>#REF!</v>
      </c>
      <c r="G80" s="15" t="e">
        <f>+#REF!</f>
        <v>#REF!</v>
      </c>
      <c r="H80" s="15" t="e">
        <f>+#REF!</f>
        <v>#REF!</v>
      </c>
      <c r="I80" s="15" t="e">
        <f>+#REF!</f>
        <v>#REF!</v>
      </c>
      <c r="J80" s="15" t="e">
        <f>+#REF!</f>
        <v>#REF!</v>
      </c>
      <c r="K80" s="15" t="e">
        <f>+#REF!</f>
        <v>#REF!</v>
      </c>
      <c r="L80" s="15" t="e">
        <f>+#REF!</f>
        <v>#REF!</v>
      </c>
    </row>
    <row r="81" spans="3:12" ht="21.75" customHeight="1" x14ac:dyDescent="0.25">
      <c r="C81" s="14">
        <v>73</v>
      </c>
      <c r="D81" s="15" t="e">
        <f>+#REF!</f>
        <v>#REF!</v>
      </c>
      <c r="E81" s="15" t="e">
        <f>+#REF!</f>
        <v>#REF!</v>
      </c>
      <c r="F81" s="15" t="e">
        <f>+#REF!</f>
        <v>#REF!</v>
      </c>
      <c r="G81" s="15" t="e">
        <f>+#REF!</f>
        <v>#REF!</v>
      </c>
      <c r="H81" s="15" t="e">
        <f>+#REF!</f>
        <v>#REF!</v>
      </c>
      <c r="I81" s="15" t="e">
        <f>+#REF!</f>
        <v>#REF!</v>
      </c>
      <c r="J81" s="15" t="e">
        <f>+#REF!</f>
        <v>#REF!</v>
      </c>
      <c r="K81" s="15" t="e">
        <f>+#REF!</f>
        <v>#REF!</v>
      </c>
      <c r="L81" s="15" t="e">
        <f>+#REF!</f>
        <v>#REF!</v>
      </c>
    </row>
    <row r="82" spans="3:12" ht="21.75" customHeight="1" x14ac:dyDescent="0.25">
      <c r="C82" s="14">
        <v>74</v>
      </c>
      <c r="D82" s="15" t="e">
        <f>+#REF!</f>
        <v>#REF!</v>
      </c>
      <c r="E82" s="15" t="e">
        <f>+#REF!</f>
        <v>#REF!</v>
      </c>
      <c r="F82" s="15" t="e">
        <f>+#REF!</f>
        <v>#REF!</v>
      </c>
      <c r="G82" s="15" t="e">
        <f>+#REF!</f>
        <v>#REF!</v>
      </c>
      <c r="H82" s="15" t="e">
        <f>+#REF!</f>
        <v>#REF!</v>
      </c>
      <c r="I82" s="15" t="e">
        <f>+#REF!</f>
        <v>#REF!</v>
      </c>
      <c r="J82" s="15" t="e">
        <f>+#REF!</f>
        <v>#REF!</v>
      </c>
      <c r="K82" s="15" t="e">
        <f>+#REF!</f>
        <v>#REF!</v>
      </c>
      <c r="L82" s="15" t="e">
        <f>+#REF!</f>
        <v>#REF!</v>
      </c>
    </row>
    <row r="83" spans="3:12" ht="21.75" customHeight="1" x14ac:dyDescent="0.25">
      <c r="C83" s="14">
        <v>75</v>
      </c>
      <c r="D83" s="15" t="e">
        <f>+#REF!</f>
        <v>#REF!</v>
      </c>
      <c r="E83" s="15" t="e">
        <f>+#REF!</f>
        <v>#REF!</v>
      </c>
      <c r="F83" s="15" t="e">
        <f>+#REF!</f>
        <v>#REF!</v>
      </c>
      <c r="G83" s="15" t="e">
        <f>+#REF!</f>
        <v>#REF!</v>
      </c>
      <c r="H83" s="15" t="e">
        <f>+#REF!</f>
        <v>#REF!</v>
      </c>
      <c r="I83" s="15" t="e">
        <f>+#REF!</f>
        <v>#REF!</v>
      </c>
      <c r="J83" s="15" t="e">
        <f>+#REF!</f>
        <v>#REF!</v>
      </c>
      <c r="K83" s="15" t="e">
        <f>+#REF!</f>
        <v>#REF!</v>
      </c>
      <c r="L83" s="15" t="e">
        <f>+#REF!</f>
        <v>#REF!</v>
      </c>
    </row>
    <row r="84" spans="3:12" ht="21.75" customHeight="1" x14ac:dyDescent="0.25">
      <c r="C84" s="14">
        <v>76</v>
      </c>
      <c r="D84" s="15" t="e">
        <f>+#REF!</f>
        <v>#REF!</v>
      </c>
      <c r="E84" s="15" t="e">
        <f>+#REF!</f>
        <v>#REF!</v>
      </c>
      <c r="F84" s="15" t="e">
        <f>+#REF!</f>
        <v>#REF!</v>
      </c>
      <c r="G84" s="15" t="e">
        <f>+#REF!</f>
        <v>#REF!</v>
      </c>
      <c r="H84" s="15" t="e">
        <f>+#REF!</f>
        <v>#REF!</v>
      </c>
      <c r="I84" s="15" t="e">
        <f>+#REF!</f>
        <v>#REF!</v>
      </c>
      <c r="J84" s="15" t="e">
        <f>+#REF!</f>
        <v>#REF!</v>
      </c>
      <c r="K84" s="15" t="e">
        <f>+#REF!</f>
        <v>#REF!</v>
      </c>
      <c r="L84" s="15" t="e">
        <f>+#REF!</f>
        <v>#REF!</v>
      </c>
    </row>
    <row r="85" spans="3:12" ht="21.75" customHeight="1" x14ac:dyDescent="0.25">
      <c r="C85" s="14">
        <v>77</v>
      </c>
      <c r="D85" s="15" t="e">
        <f>+#REF!</f>
        <v>#REF!</v>
      </c>
      <c r="E85" s="15" t="e">
        <f>+#REF!</f>
        <v>#REF!</v>
      </c>
      <c r="F85" s="15" t="e">
        <f>+#REF!</f>
        <v>#REF!</v>
      </c>
      <c r="G85" s="15" t="e">
        <f>+#REF!</f>
        <v>#REF!</v>
      </c>
      <c r="H85" s="15" t="e">
        <f>+#REF!</f>
        <v>#REF!</v>
      </c>
      <c r="I85" s="15" t="e">
        <f>+#REF!</f>
        <v>#REF!</v>
      </c>
      <c r="J85" s="15" t="e">
        <f>+#REF!</f>
        <v>#REF!</v>
      </c>
      <c r="K85" s="15" t="e">
        <f>+#REF!</f>
        <v>#REF!</v>
      </c>
      <c r="L85" s="15" t="e">
        <f>+#REF!</f>
        <v>#REF!</v>
      </c>
    </row>
    <row r="86" spans="3:12" ht="21.75" customHeight="1" x14ac:dyDescent="0.25">
      <c r="C86" s="14">
        <v>78</v>
      </c>
      <c r="D86" s="15" t="e">
        <f>+#REF!</f>
        <v>#REF!</v>
      </c>
      <c r="E86" s="15" t="e">
        <f>+#REF!</f>
        <v>#REF!</v>
      </c>
      <c r="F86" s="15" t="e">
        <f>+#REF!</f>
        <v>#REF!</v>
      </c>
      <c r="G86" s="15" t="e">
        <f>+#REF!</f>
        <v>#REF!</v>
      </c>
      <c r="H86" s="15" t="e">
        <f>+#REF!</f>
        <v>#REF!</v>
      </c>
      <c r="I86" s="15" t="e">
        <f>+#REF!</f>
        <v>#REF!</v>
      </c>
      <c r="J86" s="15" t="e">
        <f>+#REF!</f>
        <v>#REF!</v>
      </c>
      <c r="K86" s="15" t="e">
        <f>+#REF!</f>
        <v>#REF!</v>
      </c>
      <c r="L86" s="15" t="e">
        <f>+#REF!</f>
        <v>#REF!</v>
      </c>
    </row>
    <row r="87" spans="3:12" ht="21.75" customHeight="1" x14ac:dyDescent="0.25">
      <c r="C87" s="14">
        <v>79</v>
      </c>
      <c r="D87" s="15" t="e">
        <f>+#REF!</f>
        <v>#REF!</v>
      </c>
      <c r="E87" s="15" t="e">
        <f>+#REF!</f>
        <v>#REF!</v>
      </c>
      <c r="F87" s="15" t="e">
        <f>+#REF!</f>
        <v>#REF!</v>
      </c>
      <c r="G87" s="15" t="e">
        <f>+#REF!</f>
        <v>#REF!</v>
      </c>
      <c r="H87" s="15" t="e">
        <f>+#REF!</f>
        <v>#REF!</v>
      </c>
      <c r="I87" s="15" t="e">
        <f>+#REF!</f>
        <v>#REF!</v>
      </c>
      <c r="J87" s="15" t="e">
        <f>+#REF!</f>
        <v>#REF!</v>
      </c>
      <c r="K87" s="15" t="e">
        <f>+#REF!</f>
        <v>#REF!</v>
      </c>
      <c r="L87" s="15" t="e">
        <f>+#REF!</f>
        <v>#REF!</v>
      </c>
    </row>
    <row r="88" spans="3:12" ht="21.75" customHeight="1" x14ac:dyDescent="0.25">
      <c r="C88" s="14">
        <v>80</v>
      </c>
      <c r="D88" s="15" t="e">
        <f>+#REF!</f>
        <v>#REF!</v>
      </c>
      <c r="E88" s="15" t="e">
        <f>+#REF!</f>
        <v>#REF!</v>
      </c>
      <c r="F88" s="15" t="e">
        <f>+#REF!</f>
        <v>#REF!</v>
      </c>
      <c r="G88" s="15" t="e">
        <f>+#REF!</f>
        <v>#REF!</v>
      </c>
      <c r="H88" s="15" t="e">
        <f>+#REF!</f>
        <v>#REF!</v>
      </c>
      <c r="I88" s="15" t="e">
        <f>+#REF!</f>
        <v>#REF!</v>
      </c>
      <c r="J88" s="15" t="e">
        <f>+#REF!</f>
        <v>#REF!</v>
      </c>
      <c r="K88" s="15" t="e">
        <f>+#REF!</f>
        <v>#REF!</v>
      </c>
      <c r="L88" s="15" t="e">
        <f>+#REF!</f>
        <v>#REF!</v>
      </c>
    </row>
    <row r="89" spans="3:12" ht="21.75" customHeight="1" x14ac:dyDescent="0.25">
      <c r="C89" s="14">
        <v>81</v>
      </c>
      <c r="D89" s="15" t="e">
        <f>+#REF!</f>
        <v>#REF!</v>
      </c>
      <c r="E89" s="15" t="e">
        <f>+#REF!</f>
        <v>#REF!</v>
      </c>
      <c r="F89" s="15" t="e">
        <f>+#REF!</f>
        <v>#REF!</v>
      </c>
      <c r="G89" s="15" t="e">
        <f>+#REF!</f>
        <v>#REF!</v>
      </c>
      <c r="H89" s="15" t="e">
        <f>+#REF!</f>
        <v>#REF!</v>
      </c>
      <c r="I89" s="15" t="e">
        <f>+#REF!</f>
        <v>#REF!</v>
      </c>
      <c r="J89" s="15" t="e">
        <f>+#REF!</f>
        <v>#REF!</v>
      </c>
      <c r="K89" s="15" t="e">
        <f>+#REF!</f>
        <v>#REF!</v>
      </c>
      <c r="L89" s="15" t="e">
        <f>+#REF!</f>
        <v>#REF!</v>
      </c>
    </row>
    <row r="90" spans="3:12" ht="21.75" customHeight="1" x14ac:dyDescent="0.25">
      <c r="C90" s="14">
        <v>82</v>
      </c>
      <c r="D90" s="15" t="e">
        <f>+#REF!</f>
        <v>#REF!</v>
      </c>
      <c r="E90" s="15" t="e">
        <f>+#REF!</f>
        <v>#REF!</v>
      </c>
      <c r="F90" s="15" t="e">
        <f>+#REF!</f>
        <v>#REF!</v>
      </c>
      <c r="G90" s="15" t="e">
        <f>+#REF!</f>
        <v>#REF!</v>
      </c>
      <c r="H90" s="15" t="e">
        <f>+#REF!</f>
        <v>#REF!</v>
      </c>
      <c r="I90" s="15" t="e">
        <f>+#REF!</f>
        <v>#REF!</v>
      </c>
      <c r="J90" s="15" t="e">
        <f>+#REF!</f>
        <v>#REF!</v>
      </c>
      <c r="K90" s="15" t="e">
        <f>+#REF!</f>
        <v>#REF!</v>
      </c>
      <c r="L90" s="15" t="e">
        <f>+#REF!</f>
        <v>#REF!</v>
      </c>
    </row>
    <row r="91" spans="3:12" ht="21.75" customHeight="1" x14ac:dyDescent="0.25">
      <c r="C91" s="14">
        <v>83</v>
      </c>
      <c r="D91" s="15" t="e">
        <f>+#REF!</f>
        <v>#REF!</v>
      </c>
      <c r="E91" s="15" t="e">
        <f>+#REF!</f>
        <v>#REF!</v>
      </c>
      <c r="F91" s="15" t="e">
        <f>+#REF!</f>
        <v>#REF!</v>
      </c>
      <c r="G91" s="15" t="e">
        <f>+#REF!</f>
        <v>#REF!</v>
      </c>
      <c r="H91" s="15" t="e">
        <f>+#REF!</f>
        <v>#REF!</v>
      </c>
      <c r="I91" s="15" t="e">
        <f>+#REF!</f>
        <v>#REF!</v>
      </c>
      <c r="J91" s="15" t="e">
        <f>+#REF!</f>
        <v>#REF!</v>
      </c>
      <c r="K91" s="15" t="e">
        <f>+#REF!</f>
        <v>#REF!</v>
      </c>
      <c r="L91" s="15" t="e">
        <f>+#REF!</f>
        <v>#REF!</v>
      </c>
    </row>
    <row r="92" spans="3:12" ht="21.75" customHeight="1" x14ac:dyDescent="0.25">
      <c r="C92" s="14">
        <v>84</v>
      </c>
      <c r="D92" s="15" t="e">
        <f>+#REF!</f>
        <v>#REF!</v>
      </c>
      <c r="E92" s="15" t="e">
        <f>+#REF!</f>
        <v>#REF!</v>
      </c>
      <c r="F92" s="15" t="e">
        <f>+#REF!</f>
        <v>#REF!</v>
      </c>
      <c r="G92" s="15" t="e">
        <f>+#REF!</f>
        <v>#REF!</v>
      </c>
      <c r="H92" s="15" t="e">
        <f>+#REF!</f>
        <v>#REF!</v>
      </c>
      <c r="I92" s="15" t="e">
        <f>+#REF!</f>
        <v>#REF!</v>
      </c>
      <c r="J92" s="15" t="e">
        <f>+#REF!</f>
        <v>#REF!</v>
      </c>
      <c r="K92" s="15" t="e">
        <f>+#REF!</f>
        <v>#REF!</v>
      </c>
      <c r="L92" s="15" t="e">
        <f>+#REF!</f>
        <v>#REF!</v>
      </c>
    </row>
    <row r="93" spans="3:12" ht="21.75" customHeight="1" x14ac:dyDescent="0.25">
      <c r="C93" s="14">
        <v>85</v>
      </c>
      <c r="D93" s="15" t="e">
        <f>+#REF!</f>
        <v>#REF!</v>
      </c>
      <c r="E93" s="15" t="e">
        <f>+#REF!</f>
        <v>#REF!</v>
      </c>
      <c r="F93" s="15" t="e">
        <f>+#REF!</f>
        <v>#REF!</v>
      </c>
      <c r="G93" s="15" t="e">
        <f>+#REF!</f>
        <v>#REF!</v>
      </c>
      <c r="H93" s="15" t="e">
        <f>+#REF!</f>
        <v>#REF!</v>
      </c>
      <c r="I93" s="15" t="e">
        <f>+#REF!</f>
        <v>#REF!</v>
      </c>
      <c r="J93" s="15" t="e">
        <f>+#REF!</f>
        <v>#REF!</v>
      </c>
      <c r="K93" s="15" t="e">
        <f>+#REF!</f>
        <v>#REF!</v>
      </c>
      <c r="L93" s="15" t="e">
        <f>+#REF!</f>
        <v>#REF!</v>
      </c>
    </row>
    <row r="94" spans="3:12" ht="21.75" customHeight="1" x14ac:dyDescent="0.25">
      <c r="C94" s="14">
        <v>86</v>
      </c>
      <c r="D94" s="15" t="e">
        <f>+#REF!</f>
        <v>#REF!</v>
      </c>
      <c r="E94" s="15" t="e">
        <f>+#REF!</f>
        <v>#REF!</v>
      </c>
      <c r="F94" s="15" t="e">
        <f>+#REF!</f>
        <v>#REF!</v>
      </c>
      <c r="G94" s="15" t="e">
        <f>+#REF!</f>
        <v>#REF!</v>
      </c>
      <c r="H94" s="15" t="e">
        <f>+#REF!</f>
        <v>#REF!</v>
      </c>
      <c r="I94" s="15" t="e">
        <f>+#REF!</f>
        <v>#REF!</v>
      </c>
      <c r="J94" s="15" t="e">
        <f>+#REF!</f>
        <v>#REF!</v>
      </c>
      <c r="K94" s="15" t="e">
        <f>+#REF!</f>
        <v>#REF!</v>
      </c>
      <c r="L94" s="15" t="e">
        <f>+#REF!</f>
        <v>#REF!</v>
      </c>
    </row>
    <row r="95" spans="3:12" ht="21.75" customHeight="1" x14ac:dyDescent="0.25">
      <c r="C95" s="14">
        <v>87</v>
      </c>
      <c r="D95" s="15" t="e">
        <f>+#REF!</f>
        <v>#REF!</v>
      </c>
      <c r="E95" s="15" t="e">
        <f>+#REF!</f>
        <v>#REF!</v>
      </c>
      <c r="F95" s="15" t="e">
        <f>+#REF!</f>
        <v>#REF!</v>
      </c>
      <c r="G95" s="15" t="e">
        <f>+#REF!</f>
        <v>#REF!</v>
      </c>
      <c r="H95" s="15" t="e">
        <f>+#REF!</f>
        <v>#REF!</v>
      </c>
      <c r="I95" s="15" t="e">
        <f>+#REF!</f>
        <v>#REF!</v>
      </c>
      <c r="J95" s="15" t="e">
        <f>+#REF!</f>
        <v>#REF!</v>
      </c>
      <c r="K95" s="15" t="e">
        <f>+#REF!</f>
        <v>#REF!</v>
      </c>
      <c r="L95" s="15" t="e">
        <f>+#REF!</f>
        <v>#REF!</v>
      </c>
    </row>
    <row r="96" spans="3:12" ht="21.75" customHeight="1" x14ac:dyDescent="0.25">
      <c r="C96" s="14">
        <v>88</v>
      </c>
      <c r="D96" s="15" t="e">
        <f>+#REF!</f>
        <v>#REF!</v>
      </c>
      <c r="E96" s="15" t="e">
        <f>+#REF!</f>
        <v>#REF!</v>
      </c>
      <c r="F96" s="15" t="e">
        <f>+#REF!</f>
        <v>#REF!</v>
      </c>
      <c r="G96" s="15" t="e">
        <f>+#REF!</f>
        <v>#REF!</v>
      </c>
      <c r="H96" s="15" t="e">
        <f>+#REF!</f>
        <v>#REF!</v>
      </c>
      <c r="I96" s="15" t="e">
        <f>+#REF!</f>
        <v>#REF!</v>
      </c>
      <c r="J96" s="15" t="e">
        <f>+#REF!</f>
        <v>#REF!</v>
      </c>
      <c r="K96" s="15" t="e">
        <f>+#REF!</f>
        <v>#REF!</v>
      </c>
      <c r="L96" s="15" t="e">
        <f>+#REF!</f>
        <v>#REF!</v>
      </c>
    </row>
    <row r="97" spans="3:12" ht="21.75" customHeight="1" x14ac:dyDescent="0.25">
      <c r="C97" s="14">
        <v>89</v>
      </c>
      <c r="D97" s="15" t="e">
        <f>+#REF!</f>
        <v>#REF!</v>
      </c>
      <c r="E97" s="15" t="e">
        <f>+#REF!</f>
        <v>#REF!</v>
      </c>
      <c r="F97" s="15" t="e">
        <f>+#REF!</f>
        <v>#REF!</v>
      </c>
      <c r="G97" s="15" t="e">
        <f>+#REF!</f>
        <v>#REF!</v>
      </c>
      <c r="H97" s="15" t="e">
        <f>+#REF!</f>
        <v>#REF!</v>
      </c>
      <c r="I97" s="15" t="e">
        <f>+#REF!</f>
        <v>#REF!</v>
      </c>
      <c r="J97" s="15" t="e">
        <f>+#REF!</f>
        <v>#REF!</v>
      </c>
      <c r="K97" s="15" t="e">
        <f>+#REF!</f>
        <v>#REF!</v>
      </c>
      <c r="L97" s="15" t="e">
        <f>+#REF!</f>
        <v>#REF!</v>
      </c>
    </row>
    <row r="98" spans="3:12" ht="21.75" customHeight="1" x14ac:dyDescent="0.25">
      <c r="C98" s="14">
        <v>90</v>
      </c>
      <c r="D98" s="15" t="e">
        <f>+#REF!</f>
        <v>#REF!</v>
      </c>
      <c r="E98" s="15" t="e">
        <f>+#REF!</f>
        <v>#REF!</v>
      </c>
      <c r="F98" s="15" t="e">
        <f>+#REF!</f>
        <v>#REF!</v>
      </c>
      <c r="G98" s="15" t="e">
        <f>+#REF!</f>
        <v>#REF!</v>
      </c>
      <c r="H98" s="15" t="e">
        <f>+#REF!</f>
        <v>#REF!</v>
      </c>
      <c r="I98" s="15" t="e">
        <f>+#REF!</f>
        <v>#REF!</v>
      </c>
      <c r="J98" s="15" t="e">
        <f>+#REF!</f>
        <v>#REF!</v>
      </c>
      <c r="K98" s="15" t="e">
        <f>+#REF!</f>
        <v>#REF!</v>
      </c>
      <c r="L98" s="15" t="e">
        <f>+#REF!</f>
        <v>#REF!</v>
      </c>
    </row>
    <row r="99" spans="3:12" ht="21.75" customHeight="1" x14ac:dyDescent="0.25">
      <c r="C99" s="14">
        <v>91</v>
      </c>
      <c r="D99" s="15" t="e">
        <f>+#REF!</f>
        <v>#REF!</v>
      </c>
      <c r="E99" s="15" t="e">
        <f>+#REF!</f>
        <v>#REF!</v>
      </c>
      <c r="F99" s="15" t="e">
        <f>+#REF!</f>
        <v>#REF!</v>
      </c>
      <c r="G99" s="15" t="e">
        <f>+#REF!</f>
        <v>#REF!</v>
      </c>
      <c r="H99" s="15" t="e">
        <f>+#REF!</f>
        <v>#REF!</v>
      </c>
      <c r="I99" s="15" t="e">
        <f>+#REF!</f>
        <v>#REF!</v>
      </c>
      <c r="J99" s="15" t="e">
        <f>+#REF!</f>
        <v>#REF!</v>
      </c>
      <c r="K99" s="15" t="e">
        <f>+#REF!</f>
        <v>#REF!</v>
      </c>
      <c r="L99" s="15" t="e">
        <f>+#REF!</f>
        <v>#REF!</v>
      </c>
    </row>
    <row r="100" spans="3:12" ht="21.75" customHeight="1" x14ac:dyDescent="0.25">
      <c r="C100" s="14">
        <v>92</v>
      </c>
      <c r="D100" s="15" t="e">
        <f>+#REF!</f>
        <v>#REF!</v>
      </c>
      <c r="E100" s="15" t="e">
        <f>+#REF!</f>
        <v>#REF!</v>
      </c>
      <c r="F100" s="15" t="e">
        <f>+#REF!</f>
        <v>#REF!</v>
      </c>
      <c r="G100" s="15" t="e">
        <f>+#REF!</f>
        <v>#REF!</v>
      </c>
      <c r="H100" s="15" t="e">
        <f>+#REF!</f>
        <v>#REF!</v>
      </c>
      <c r="I100" s="15" t="e">
        <f>+#REF!</f>
        <v>#REF!</v>
      </c>
      <c r="J100" s="15" t="e">
        <f>+#REF!</f>
        <v>#REF!</v>
      </c>
      <c r="K100" s="15" t="e">
        <f>+#REF!</f>
        <v>#REF!</v>
      </c>
      <c r="L100" s="15" t="e">
        <f>+#REF!</f>
        <v>#REF!</v>
      </c>
    </row>
    <row r="101" spans="3:12" ht="21.75" customHeight="1" x14ac:dyDescent="0.25">
      <c r="C101" s="14">
        <v>93</v>
      </c>
      <c r="D101" s="15" t="e">
        <f>+#REF!</f>
        <v>#REF!</v>
      </c>
      <c r="E101" s="15" t="e">
        <f>+#REF!</f>
        <v>#REF!</v>
      </c>
      <c r="F101" s="15" t="e">
        <f>+#REF!</f>
        <v>#REF!</v>
      </c>
      <c r="G101" s="15" t="e">
        <f>+#REF!</f>
        <v>#REF!</v>
      </c>
      <c r="H101" s="15" t="e">
        <f>+#REF!</f>
        <v>#REF!</v>
      </c>
      <c r="I101" s="15" t="e">
        <f>+#REF!</f>
        <v>#REF!</v>
      </c>
      <c r="J101" s="15" t="e">
        <f>+#REF!</f>
        <v>#REF!</v>
      </c>
      <c r="K101" s="15" t="e">
        <f>+#REF!</f>
        <v>#REF!</v>
      </c>
      <c r="L101" s="15" t="e">
        <f>+#REF!</f>
        <v>#REF!</v>
      </c>
    </row>
    <row r="102" spans="3:12" ht="21.75" customHeight="1" x14ac:dyDescent="0.25">
      <c r="C102" s="14">
        <v>94</v>
      </c>
      <c r="D102" s="15" t="e">
        <f>+#REF!</f>
        <v>#REF!</v>
      </c>
      <c r="E102" s="15" t="e">
        <f>+#REF!</f>
        <v>#REF!</v>
      </c>
      <c r="F102" s="15" t="e">
        <f>+#REF!</f>
        <v>#REF!</v>
      </c>
      <c r="G102" s="15" t="e">
        <f>+#REF!</f>
        <v>#REF!</v>
      </c>
      <c r="H102" s="15" t="e">
        <f>+#REF!</f>
        <v>#REF!</v>
      </c>
      <c r="I102" s="15" t="e">
        <f>+#REF!</f>
        <v>#REF!</v>
      </c>
      <c r="J102" s="15" t="e">
        <f>+#REF!</f>
        <v>#REF!</v>
      </c>
      <c r="K102" s="15" t="e">
        <f>+#REF!</f>
        <v>#REF!</v>
      </c>
      <c r="L102" s="15" t="e">
        <f>+#REF!</f>
        <v>#REF!</v>
      </c>
    </row>
    <row r="103" spans="3:12" ht="21.75" customHeight="1" x14ac:dyDescent="0.25">
      <c r="C103" s="14">
        <v>95</v>
      </c>
      <c r="D103" s="15" t="e">
        <f>+#REF!</f>
        <v>#REF!</v>
      </c>
      <c r="E103" s="15" t="e">
        <f>+#REF!</f>
        <v>#REF!</v>
      </c>
      <c r="F103" s="15" t="e">
        <f>+#REF!</f>
        <v>#REF!</v>
      </c>
      <c r="G103" s="15" t="e">
        <f>+#REF!</f>
        <v>#REF!</v>
      </c>
      <c r="H103" s="15" t="e">
        <f>+#REF!</f>
        <v>#REF!</v>
      </c>
      <c r="I103" s="15" t="e">
        <f>+#REF!</f>
        <v>#REF!</v>
      </c>
      <c r="J103" s="15" t="e">
        <f>+#REF!</f>
        <v>#REF!</v>
      </c>
      <c r="K103" s="15" t="e">
        <f>+#REF!</f>
        <v>#REF!</v>
      </c>
      <c r="L103" s="15" t="e">
        <f>+#REF!</f>
        <v>#REF!</v>
      </c>
    </row>
    <row r="104" spans="3:12" ht="21.75" customHeight="1" x14ac:dyDescent="0.25">
      <c r="C104" s="14">
        <v>96</v>
      </c>
      <c r="D104" s="15" t="e">
        <f>+#REF!</f>
        <v>#REF!</v>
      </c>
      <c r="E104" s="15" t="e">
        <f>+#REF!</f>
        <v>#REF!</v>
      </c>
      <c r="F104" s="15" t="e">
        <f>+#REF!</f>
        <v>#REF!</v>
      </c>
      <c r="G104" s="15" t="e">
        <f>+#REF!</f>
        <v>#REF!</v>
      </c>
      <c r="H104" s="15" t="e">
        <f>+#REF!</f>
        <v>#REF!</v>
      </c>
      <c r="I104" s="15" t="e">
        <f>+#REF!</f>
        <v>#REF!</v>
      </c>
      <c r="J104" s="15" t="e">
        <f>+#REF!</f>
        <v>#REF!</v>
      </c>
      <c r="K104" s="15" t="e">
        <f>+#REF!</f>
        <v>#REF!</v>
      </c>
      <c r="L104" s="15" t="e">
        <f>+#REF!</f>
        <v>#REF!</v>
      </c>
    </row>
    <row r="105" spans="3:12" ht="21.75" customHeight="1" x14ac:dyDescent="0.25">
      <c r="C105" s="14">
        <v>97</v>
      </c>
      <c r="D105" s="15" t="e">
        <f>+#REF!</f>
        <v>#REF!</v>
      </c>
      <c r="E105" s="15" t="e">
        <f>+#REF!</f>
        <v>#REF!</v>
      </c>
      <c r="F105" s="15" t="e">
        <f>+#REF!</f>
        <v>#REF!</v>
      </c>
      <c r="G105" s="15" t="e">
        <f>+#REF!</f>
        <v>#REF!</v>
      </c>
      <c r="H105" s="15" t="e">
        <f>+#REF!</f>
        <v>#REF!</v>
      </c>
      <c r="I105" s="15" t="e">
        <f>+#REF!</f>
        <v>#REF!</v>
      </c>
      <c r="J105" s="15" t="e">
        <f>+#REF!</f>
        <v>#REF!</v>
      </c>
      <c r="K105" s="15" t="e">
        <f>+#REF!</f>
        <v>#REF!</v>
      </c>
      <c r="L105" s="15" t="e">
        <f>+#REF!</f>
        <v>#REF!</v>
      </c>
    </row>
    <row r="106" spans="3:12" ht="21.75" customHeight="1" x14ac:dyDescent="0.25">
      <c r="C106" s="14">
        <v>98</v>
      </c>
      <c r="D106" s="15" t="e">
        <f>+#REF!</f>
        <v>#REF!</v>
      </c>
      <c r="E106" s="15" t="e">
        <f>+#REF!</f>
        <v>#REF!</v>
      </c>
      <c r="F106" s="15" t="e">
        <f>+#REF!</f>
        <v>#REF!</v>
      </c>
      <c r="G106" s="15" t="e">
        <f>+#REF!</f>
        <v>#REF!</v>
      </c>
      <c r="H106" s="15" t="e">
        <f>+#REF!</f>
        <v>#REF!</v>
      </c>
      <c r="I106" s="15" t="e">
        <f>+#REF!</f>
        <v>#REF!</v>
      </c>
      <c r="J106" s="15" t="e">
        <f>+#REF!</f>
        <v>#REF!</v>
      </c>
      <c r="K106" s="15" t="e">
        <f>+#REF!</f>
        <v>#REF!</v>
      </c>
      <c r="L106" s="15" t="e">
        <f>+#REF!</f>
        <v>#REF!</v>
      </c>
    </row>
    <row r="107" spans="3:12" ht="21.75" customHeight="1" x14ac:dyDescent="0.25">
      <c r="C107" s="14">
        <v>99</v>
      </c>
      <c r="D107" s="15" t="e">
        <f>+#REF!</f>
        <v>#REF!</v>
      </c>
      <c r="E107" s="15" t="e">
        <f>+#REF!</f>
        <v>#REF!</v>
      </c>
      <c r="F107" s="15" t="e">
        <f>+#REF!</f>
        <v>#REF!</v>
      </c>
      <c r="G107" s="15" t="e">
        <f>+#REF!</f>
        <v>#REF!</v>
      </c>
      <c r="H107" s="15" t="e">
        <f>+#REF!</f>
        <v>#REF!</v>
      </c>
      <c r="I107" s="15" t="e">
        <f>+#REF!</f>
        <v>#REF!</v>
      </c>
      <c r="J107" s="15" t="e">
        <f>+#REF!</f>
        <v>#REF!</v>
      </c>
      <c r="K107" s="15" t="e">
        <f>+#REF!</f>
        <v>#REF!</v>
      </c>
      <c r="L107" s="15" t="e">
        <f>+#REF!</f>
        <v>#REF!</v>
      </c>
    </row>
    <row r="108" spans="3:12" ht="21.75" customHeight="1" x14ac:dyDescent="0.25">
      <c r="C108" s="14">
        <v>100</v>
      </c>
      <c r="D108" s="15" t="e">
        <f>+#REF!</f>
        <v>#REF!</v>
      </c>
      <c r="E108" s="15" t="e">
        <f>+#REF!</f>
        <v>#REF!</v>
      </c>
      <c r="F108" s="15" t="e">
        <f>+#REF!</f>
        <v>#REF!</v>
      </c>
      <c r="G108" s="15" t="e">
        <f>+#REF!</f>
        <v>#REF!</v>
      </c>
      <c r="H108" s="15" t="e">
        <f>+#REF!</f>
        <v>#REF!</v>
      </c>
      <c r="I108" s="15" t="e">
        <f>+#REF!</f>
        <v>#REF!</v>
      </c>
      <c r="J108" s="15" t="e">
        <f>+#REF!</f>
        <v>#REF!</v>
      </c>
      <c r="K108" s="15" t="e">
        <f>+#REF!</f>
        <v>#REF!</v>
      </c>
      <c r="L108" s="15" t="e">
        <f>+#REF!</f>
        <v>#REF!</v>
      </c>
    </row>
    <row r="109" spans="3:12" ht="21.75" customHeight="1" x14ac:dyDescent="0.25">
      <c r="C109" s="14">
        <v>101</v>
      </c>
      <c r="D109" s="15" t="e">
        <f>+#REF!</f>
        <v>#REF!</v>
      </c>
      <c r="E109" s="15" t="e">
        <f>+#REF!</f>
        <v>#REF!</v>
      </c>
      <c r="F109" s="15" t="e">
        <f>+#REF!</f>
        <v>#REF!</v>
      </c>
      <c r="G109" s="15" t="e">
        <f>+#REF!</f>
        <v>#REF!</v>
      </c>
      <c r="H109" s="15" t="e">
        <f>+#REF!</f>
        <v>#REF!</v>
      </c>
      <c r="I109" s="15" t="e">
        <f>+#REF!</f>
        <v>#REF!</v>
      </c>
      <c r="J109" s="15" t="e">
        <f>+#REF!</f>
        <v>#REF!</v>
      </c>
      <c r="K109" s="15" t="e">
        <f>+#REF!</f>
        <v>#REF!</v>
      </c>
      <c r="L109" s="15" t="e">
        <f>+#REF!</f>
        <v>#REF!</v>
      </c>
    </row>
    <row r="110" spans="3:12" ht="21.75" customHeight="1" x14ac:dyDescent="0.25">
      <c r="C110" s="14">
        <v>102</v>
      </c>
      <c r="D110" s="15" t="e">
        <f>+#REF!</f>
        <v>#REF!</v>
      </c>
      <c r="E110" s="15" t="e">
        <f>+#REF!</f>
        <v>#REF!</v>
      </c>
      <c r="F110" s="15" t="e">
        <f>+#REF!</f>
        <v>#REF!</v>
      </c>
      <c r="G110" s="15" t="e">
        <f>+#REF!</f>
        <v>#REF!</v>
      </c>
      <c r="H110" s="15" t="e">
        <f>+#REF!</f>
        <v>#REF!</v>
      </c>
      <c r="I110" s="15" t="e">
        <f>+#REF!</f>
        <v>#REF!</v>
      </c>
      <c r="J110" s="15" t="e">
        <f>+#REF!</f>
        <v>#REF!</v>
      </c>
      <c r="K110" s="15" t="e">
        <f>+#REF!</f>
        <v>#REF!</v>
      </c>
      <c r="L110" s="15" t="e">
        <f>+#REF!</f>
        <v>#REF!</v>
      </c>
    </row>
    <row r="111" spans="3:12" ht="21.75" customHeight="1" x14ac:dyDescent="0.25">
      <c r="C111" s="14">
        <v>103</v>
      </c>
      <c r="D111" s="15" t="e">
        <f>+#REF!</f>
        <v>#REF!</v>
      </c>
      <c r="E111" s="15" t="e">
        <f>+#REF!</f>
        <v>#REF!</v>
      </c>
      <c r="F111" s="15" t="e">
        <f>+#REF!</f>
        <v>#REF!</v>
      </c>
      <c r="G111" s="15" t="e">
        <f>+#REF!</f>
        <v>#REF!</v>
      </c>
      <c r="H111" s="15" t="e">
        <f>+#REF!</f>
        <v>#REF!</v>
      </c>
      <c r="I111" s="15" t="e">
        <f>+#REF!</f>
        <v>#REF!</v>
      </c>
      <c r="J111" s="15" t="e">
        <f>+#REF!</f>
        <v>#REF!</v>
      </c>
      <c r="K111" s="15" t="e">
        <f>+#REF!</f>
        <v>#REF!</v>
      </c>
      <c r="L111" s="15" t="e">
        <f>+#REF!</f>
        <v>#REF!</v>
      </c>
    </row>
    <row r="112" spans="3:12" ht="21.75" customHeight="1" x14ac:dyDescent="0.25">
      <c r="C112" s="14">
        <v>104</v>
      </c>
      <c r="D112" s="15" t="e">
        <f>+#REF!</f>
        <v>#REF!</v>
      </c>
      <c r="E112" s="15" t="e">
        <f>+#REF!</f>
        <v>#REF!</v>
      </c>
      <c r="F112" s="15" t="e">
        <f>+#REF!</f>
        <v>#REF!</v>
      </c>
      <c r="G112" s="15" t="e">
        <f>+#REF!</f>
        <v>#REF!</v>
      </c>
      <c r="H112" s="15" t="e">
        <f>+#REF!</f>
        <v>#REF!</v>
      </c>
      <c r="I112" s="15" t="e">
        <f>+#REF!</f>
        <v>#REF!</v>
      </c>
      <c r="J112" s="15" t="e">
        <f>+#REF!</f>
        <v>#REF!</v>
      </c>
      <c r="K112" s="15" t="e">
        <f>+#REF!</f>
        <v>#REF!</v>
      </c>
      <c r="L112" s="15" t="e">
        <f>+#REF!</f>
        <v>#REF!</v>
      </c>
    </row>
    <row r="113" spans="3:12" ht="21.75" customHeight="1" x14ac:dyDescent="0.25">
      <c r="C113" s="14">
        <v>105</v>
      </c>
      <c r="D113" s="15" t="e">
        <f>+#REF!</f>
        <v>#REF!</v>
      </c>
      <c r="E113" s="15" t="e">
        <f>+#REF!</f>
        <v>#REF!</v>
      </c>
      <c r="F113" s="15" t="e">
        <f>+#REF!</f>
        <v>#REF!</v>
      </c>
      <c r="G113" s="15" t="e">
        <f>+#REF!</f>
        <v>#REF!</v>
      </c>
      <c r="H113" s="15" t="e">
        <f>+#REF!</f>
        <v>#REF!</v>
      </c>
      <c r="I113" s="15" t="e">
        <f>+#REF!</f>
        <v>#REF!</v>
      </c>
      <c r="J113" s="15" t="e">
        <f>+#REF!</f>
        <v>#REF!</v>
      </c>
      <c r="K113" s="15" t="e">
        <f>+#REF!</f>
        <v>#REF!</v>
      </c>
      <c r="L113" s="15" t="e">
        <f>+#REF!</f>
        <v>#REF!</v>
      </c>
    </row>
    <row r="114" spans="3:12" ht="21.75" customHeight="1" x14ac:dyDescent="0.25">
      <c r="C114" s="14">
        <v>106</v>
      </c>
      <c r="D114" s="15" t="e">
        <f>+#REF!</f>
        <v>#REF!</v>
      </c>
      <c r="E114" s="15" t="e">
        <f>+#REF!</f>
        <v>#REF!</v>
      </c>
      <c r="F114" s="15" t="e">
        <f>+#REF!</f>
        <v>#REF!</v>
      </c>
      <c r="G114" s="15" t="e">
        <f>+#REF!</f>
        <v>#REF!</v>
      </c>
      <c r="H114" s="15" t="e">
        <f>+#REF!</f>
        <v>#REF!</v>
      </c>
      <c r="I114" s="15" t="e">
        <f>+#REF!</f>
        <v>#REF!</v>
      </c>
      <c r="J114" s="15" t="e">
        <f>+#REF!</f>
        <v>#REF!</v>
      </c>
      <c r="K114" s="15" t="e">
        <f>+#REF!</f>
        <v>#REF!</v>
      </c>
      <c r="L114" s="15" t="e">
        <f>+#REF!</f>
        <v>#REF!</v>
      </c>
    </row>
    <row r="115" spans="3:12" ht="21.75" customHeight="1" x14ac:dyDescent="0.25">
      <c r="C115" s="14">
        <v>107</v>
      </c>
      <c r="D115" s="15" t="e">
        <f>+#REF!</f>
        <v>#REF!</v>
      </c>
      <c r="E115" s="15" t="e">
        <f>+#REF!</f>
        <v>#REF!</v>
      </c>
      <c r="F115" s="15" t="e">
        <f>+#REF!</f>
        <v>#REF!</v>
      </c>
      <c r="G115" s="15" t="e">
        <f>+#REF!</f>
        <v>#REF!</v>
      </c>
      <c r="H115" s="15" t="e">
        <f>+#REF!</f>
        <v>#REF!</v>
      </c>
      <c r="I115" s="15" t="e">
        <f>+#REF!</f>
        <v>#REF!</v>
      </c>
      <c r="J115" s="15" t="e">
        <f>+#REF!</f>
        <v>#REF!</v>
      </c>
      <c r="K115" s="15" t="e">
        <f>+#REF!</f>
        <v>#REF!</v>
      </c>
      <c r="L115" s="15" t="e">
        <f>+#REF!</f>
        <v>#REF!</v>
      </c>
    </row>
    <row r="116" spans="3:12" ht="21.75" customHeight="1" x14ac:dyDescent="0.25">
      <c r="C116" s="14">
        <v>108</v>
      </c>
      <c r="D116" s="15" t="e">
        <f>+#REF!</f>
        <v>#REF!</v>
      </c>
      <c r="E116" s="15" t="e">
        <f>+#REF!</f>
        <v>#REF!</v>
      </c>
      <c r="F116" s="15" t="e">
        <f>+#REF!</f>
        <v>#REF!</v>
      </c>
      <c r="G116" s="15" t="e">
        <f>+#REF!</f>
        <v>#REF!</v>
      </c>
      <c r="H116" s="15" t="e">
        <f>+#REF!</f>
        <v>#REF!</v>
      </c>
      <c r="I116" s="15" t="e">
        <f>+#REF!</f>
        <v>#REF!</v>
      </c>
      <c r="J116" s="15" t="e">
        <f>+#REF!</f>
        <v>#REF!</v>
      </c>
      <c r="K116" s="15" t="e">
        <f>+#REF!</f>
        <v>#REF!</v>
      </c>
      <c r="L116" s="15" t="e">
        <f>+#REF!</f>
        <v>#REF!</v>
      </c>
    </row>
    <row r="117" spans="3:12" ht="21.75" customHeight="1" x14ac:dyDescent="0.25">
      <c r="C117" s="14">
        <v>109</v>
      </c>
      <c r="D117" s="15" t="e">
        <f>+#REF!</f>
        <v>#REF!</v>
      </c>
      <c r="E117" s="15" t="e">
        <f>+#REF!</f>
        <v>#REF!</v>
      </c>
      <c r="F117" s="15" t="e">
        <f>+#REF!</f>
        <v>#REF!</v>
      </c>
      <c r="G117" s="15" t="e">
        <f>+#REF!</f>
        <v>#REF!</v>
      </c>
      <c r="H117" s="15" t="e">
        <f>+#REF!</f>
        <v>#REF!</v>
      </c>
      <c r="I117" s="15" t="e">
        <f>+#REF!</f>
        <v>#REF!</v>
      </c>
      <c r="J117" s="15" t="e">
        <f>+#REF!</f>
        <v>#REF!</v>
      </c>
      <c r="K117" s="15" t="e">
        <f>+#REF!</f>
        <v>#REF!</v>
      </c>
      <c r="L117" s="15" t="e">
        <f>+#REF!</f>
        <v>#REF!</v>
      </c>
    </row>
    <row r="118" spans="3:12" ht="21.75" customHeight="1" x14ac:dyDescent="0.25">
      <c r="C118" s="14">
        <v>110</v>
      </c>
      <c r="D118" s="15" t="e">
        <f>+#REF!</f>
        <v>#REF!</v>
      </c>
      <c r="E118" s="15" t="e">
        <f>+#REF!</f>
        <v>#REF!</v>
      </c>
      <c r="F118" s="15" t="e">
        <f>+#REF!</f>
        <v>#REF!</v>
      </c>
      <c r="G118" s="15" t="e">
        <f>+#REF!</f>
        <v>#REF!</v>
      </c>
      <c r="H118" s="15" t="e">
        <f>+#REF!</f>
        <v>#REF!</v>
      </c>
      <c r="I118" s="15" t="e">
        <f>+#REF!</f>
        <v>#REF!</v>
      </c>
      <c r="J118" s="15" t="e">
        <f>+#REF!</f>
        <v>#REF!</v>
      </c>
      <c r="K118" s="15" t="e">
        <f>+#REF!</f>
        <v>#REF!</v>
      </c>
      <c r="L118" s="15" t="e">
        <f>+#REF!</f>
        <v>#REF!</v>
      </c>
    </row>
    <row r="119" spans="3:12" ht="21.75" customHeight="1" x14ac:dyDescent="0.25">
      <c r="C119" s="14">
        <v>111</v>
      </c>
      <c r="D119" s="15" t="e">
        <f>+#REF!</f>
        <v>#REF!</v>
      </c>
      <c r="E119" s="15" t="e">
        <f>+#REF!</f>
        <v>#REF!</v>
      </c>
      <c r="F119" s="15" t="e">
        <f>+#REF!</f>
        <v>#REF!</v>
      </c>
      <c r="G119" s="15" t="e">
        <f>+#REF!</f>
        <v>#REF!</v>
      </c>
      <c r="H119" s="15" t="e">
        <f>+#REF!</f>
        <v>#REF!</v>
      </c>
      <c r="I119" s="15" t="e">
        <f>+#REF!</f>
        <v>#REF!</v>
      </c>
      <c r="J119" s="15" t="e">
        <f>+#REF!</f>
        <v>#REF!</v>
      </c>
      <c r="K119" s="15" t="e">
        <f>+#REF!</f>
        <v>#REF!</v>
      </c>
      <c r="L119" s="15" t="e">
        <f>+#REF!</f>
        <v>#REF!</v>
      </c>
    </row>
    <row r="120" spans="3:12" ht="21.75" customHeight="1" x14ac:dyDescent="0.25">
      <c r="C120" s="14">
        <v>112</v>
      </c>
      <c r="D120" s="15" t="e">
        <f>+#REF!</f>
        <v>#REF!</v>
      </c>
      <c r="E120" s="15" t="e">
        <f>+#REF!</f>
        <v>#REF!</v>
      </c>
      <c r="F120" s="15" t="e">
        <f>+#REF!</f>
        <v>#REF!</v>
      </c>
      <c r="G120" s="15" t="e">
        <f>+#REF!</f>
        <v>#REF!</v>
      </c>
      <c r="H120" s="15" t="e">
        <f>+#REF!</f>
        <v>#REF!</v>
      </c>
      <c r="I120" s="15" t="e">
        <f>+#REF!</f>
        <v>#REF!</v>
      </c>
      <c r="J120" s="15" t="e">
        <f>+#REF!</f>
        <v>#REF!</v>
      </c>
      <c r="K120" s="15" t="e">
        <f>+#REF!</f>
        <v>#REF!</v>
      </c>
      <c r="L120" s="15" t="e">
        <f>+#REF!</f>
        <v>#REF!</v>
      </c>
    </row>
    <row r="121" spans="3:12" ht="21.75" customHeight="1" x14ac:dyDescent="0.25">
      <c r="C121" s="14">
        <v>113</v>
      </c>
      <c r="D121" s="15" t="e">
        <f>+#REF!</f>
        <v>#REF!</v>
      </c>
      <c r="E121" s="15" t="e">
        <f>+#REF!</f>
        <v>#REF!</v>
      </c>
      <c r="F121" s="15" t="e">
        <f>+#REF!</f>
        <v>#REF!</v>
      </c>
      <c r="G121" s="15" t="e">
        <f>+#REF!</f>
        <v>#REF!</v>
      </c>
      <c r="H121" s="15" t="e">
        <f>+#REF!</f>
        <v>#REF!</v>
      </c>
      <c r="I121" s="15" t="e">
        <f>+#REF!</f>
        <v>#REF!</v>
      </c>
      <c r="J121" s="15" t="e">
        <f>+#REF!</f>
        <v>#REF!</v>
      </c>
      <c r="K121" s="15" t="e">
        <f>+#REF!</f>
        <v>#REF!</v>
      </c>
      <c r="L121" s="15" t="e">
        <f>+#REF!</f>
        <v>#REF!</v>
      </c>
    </row>
    <row r="122" spans="3:12" ht="21.75" customHeight="1" x14ac:dyDescent="0.25">
      <c r="C122" s="14">
        <v>114</v>
      </c>
      <c r="D122" s="15" t="e">
        <f>+#REF!</f>
        <v>#REF!</v>
      </c>
      <c r="E122" s="15" t="e">
        <f>+#REF!</f>
        <v>#REF!</v>
      </c>
      <c r="F122" s="15" t="e">
        <f>+#REF!</f>
        <v>#REF!</v>
      </c>
      <c r="G122" s="15" t="e">
        <f>+#REF!</f>
        <v>#REF!</v>
      </c>
      <c r="H122" s="15" t="e">
        <f>+#REF!</f>
        <v>#REF!</v>
      </c>
      <c r="I122" s="15" t="e">
        <f>+#REF!</f>
        <v>#REF!</v>
      </c>
      <c r="J122" s="15" t="e">
        <f>+#REF!</f>
        <v>#REF!</v>
      </c>
      <c r="K122" s="15" t="e">
        <f>+#REF!</f>
        <v>#REF!</v>
      </c>
      <c r="L122" s="15" t="e">
        <f>+#REF!</f>
        <v>#REF!</v>
      </c>
    </row>
    <row r="123" spans="3:12" ht="21.75" customHeight="1" x14ac:dyDescent="0.25">
      <c r="C123" s="14">
        <v>115</v>
      </c>
      <c r="D123" s="15" t="e">
        <f>+#REF!</f>
        <v>#REF!</v>
      </c>
      <c r="E123" s="15" t="e">
        <f>+#REF!</f>
        <v>#REF!</v>
      </c>
      <c r="F123" s="15" t="e">
        <f>+#REF!</f>
        <v>#REF!</v>
      </c>
      <c r="G123" s="15" t="e">
        <f>+#REF!</f>
        <v>#REF!</v>
      </c>
      <c r="H123" s="15" t="e">
        <f>+#REF!</f>
        <v>#REF!</v>
      </c>
      <c r="I123" s="15" t="e">
        <f>+#REF!</f>
        <v>#REF!</v>
      </c>
      <c r="J123" s="15" t="e">
        <f>+#REF!</f>
        <v>#REF!</v>
      </c>
      <c r="K123" s="15" t="e">
        <f>+#REF!</f>
        <v>#REF!</v>
      </c>
      <c r="L123" s="15" t="e">
        <f>+#REF!</f>
        <v>#REF!</v>
      </c>
    </row>
    <row r="124" spans="3:12" ht="21.75" customHeight="1" x14ac:dyDescent="0.25">
      <c r="C124" s="14">
        <v>116</v>
      </c>
      <c r="D124" s="15" t="e">
        <f>+#REF!</f>
        <v>#REF!</v>
      </c>
      <c r="E124" s="15" t="e">
        <f>+#REF!</f>
        <v>#REF!</v>
      </c>
      <c r="F124" s="15" t="e">
        <f>+#REF!</f>
        <v>#REF!</v>
      </c>
      <c r="G124" s="15" t="e">
        <f>+#REF!</f>
        <v>#REF!</v>
      </c>
      <c r="H124" s="15" t="e">
        <f>+#REF!</f>
        <v>#REF!</v>
      </c>
      <c r="I124" s="15" t="e">
        <f>+#REF!</f>
        <v>#REF!</v>
      </c>
      <c r="J124" s="15" t="e">
        <f>+#REF!</f>
        <v>#REF!</v>
      </c>
      <c r="K124" s="15" t="e">
        <f>+#REF!</f>
        <v>#REF!</v>
      </c>
      <c r="L124" s="15" t="e">
        <f>+#REF!</f>
        <v>#REF!</v>
      </c>
    </row>
    <row r="125" spans="3:12" ht="21.75" customHeight="1" x14ac:dyDescent="0.25">
      <c r="C125" s="14">
        <v>117</v>
      </c>
      <c r="D125" s="15" t="e">
        <f>+#REF!</f>
        <v>#REF!</v>
      </c>
      <c r="E125" s="15" t="e">
        <f>+#REF!</f>
        <v>#REF!</v>
      </c>
      <c r="F125" s="15" t="e">
        <f>+#REF!</f>
        <v>#REF!</v>
      </c>
      <c r="G125" s="15" t="e">
        <f>+#REF!</f>
        <v>#REF!</v>
      </c>
      <c r="H125" s="15" t="e">
        <f>+#REF!</f>
        <v>#REF!</v>
      </c>
      <c r="I125" s="15" t="e">
        <f>+#REF!</f>
        <v>#REF!</v>
      </c>
      <c r="J125" s="15" t="e">
        <f>+#REF!</f>
        <v>#REF!</v>
      </c>
      <c r="K125" s="15" t="e">
        <f>+#REF!</f>
        <v>#REF!</v>
      </c>
      <c r="L125" s="15" t="e">
        <f>+#REF!</f>
        <v>#REF!</v>
      </c>
    </row>
    <row r="126" spans="3:12" ht="21.75" customHeight="1" x14ac:dyDescent="0.25">
      <c r="C126" s="14">
        <v>118</v>
      </c>
      <c r="D126" s="15" t="e">
        <f>+#REF!</f>
        <v>#REF!</v>
      </c>
      <c r="E126" s="15" t="e">
        <f>+#REF!</f>
        <v>#REF!</v>
      </c>
      <c r="F126" s="15" t="e">
        <f>+#REF!</f>
        <v>#REF!</v>
      </c>
      <c r="G126" s="15" t="e">
        <f>+#REF!</f>
        <v>#REF!</v>
      </c>
      <c r="H126" s="15" t="e">
        <f>+#REF!</f>
        <v>#REF!</v>
      </c>
      <c r="I126" s="15" t="e">
        <f>+#REF!</f>
        <v>#REF!</v>
      </c>
      <c r="J126" s="15" t="e">
        <f>+#REF!</f>
        <v>#REF!</v>
      </c>
      <c r="K126" s="15" t="e">
        <f>+#REF!</f>
        <v>#REF!</v>
      </c>
      <c r="L126" s="15" t="e">
        <f>+#REF!</f>
        <v>#REF!</v>
      </c>
    </row>
    <row r="127" spans="3:12" ht="21.75" customHeight="1" x14ac:dyDescent="0.25">
      <c r="C127" s="14">
        <v>119</v>
      </c>
      <c r="D127" s="15" t="e">
        <f>+#REF!</f>
        <v>#REF!</v>
      </c>
      <c r="E127" s="15" t="e">
        <f>+#REF!</f>
        <v>#REF!</v>
      </c>
      <c r="F127" s="15" t="e">
        <f>+#REF!</f>
        <v>#REF!</v>
      </c>
      <c r="G127" s="15" t="e">
        <f>+#REF!</f>
        <v>#REF!</v>
      </c>
      <c r="H127" s="15" t="e">
        <f>+#REF!</f>
        <v>#REF!</v>
      </c>
      <c r="I127" s="15" t="e">
        <f>+#REF!</f>
        <v>#REF!</v>
      </c>
      <c r="J127" s="15" t="e">
        <f>+#REF!</f>
        <v>#REF!</v>
      </c>
      <c r="K127" s="15" t="e">
        <f>+#REF!</f>
        <v>#REF!</v>
      </c>
      <c r="L127" s="15" t="e">
        <f>+#REF!</f>
        <v>#REF!</v>
      </c>
    </row>
    <row r="128" spans="3:12" ht="21.75" customHeight="1" x14ac:dyDescent="0.25">
      <c r="C128" s="14">
        <v>120</v>
      </c>
      <c r="D128" s="15" t="e">
        <f>+#REF!</f>
        <v>#REF!</v>
      </c>
      <c r="E128" s="15" t="e">
        <f>+#REF!</f>
        <v>#REF!</v>
      </c>
      <c r="F128" s="15" t="e">
        <f>+#REF!</f>
        <v>#REF!</v>
      </c>
      <c r="G128" s="15" t="e">
        <f>+#REF!</f>
        <v>#REF!</v>
      </c>
      <c r="H128" s="15" t="e">
        <f>+#REF!</f>
        <v>#REF!</v>
      </c>
      <c r="I128" s="15" t="e">
        <f>+#REF!</f>
        <v>#REF!</v>
      </c>
      <c r="J128" s="15" t="e">
        <f>+#REF!</f>
        <v>#REF!</v>
      </c>
      <c r="K128" s="15" t="e">
        <f>+#REF!</f>
        <v>#REF!</v>
      </c>
      <c r="L128" s="15" t="e">
        <f>+#REF!</f>
        <v>#REF!</v>
      </c>
    </row>
    <row r="129" spans="3:12" ht="21.75" customHeight="1" x14ac:dyDescent="0.25">
      <c r="C129" s="14">
        <v>121</v>
      </c>
      <c r="D129" s="15" t="e">
        <f>+#REF!</f>
        <v>#REF!</v>
      </c>
      <c r="E129" s="15" t="e">
        <f>+#REF!</f>
        <v>#REF!</v>
      </c>
      <c r="F129" s="15" t="e">
        <f>+#REF!</f>
        <v>#REF!</v>
      </c>
      <c r="G129" s="15" t="e">
        <f>+#REF!</f>
        <v>#REF!</v>
      </c>
      <c r="H129" s="15" t="e">
        <f>+#REF!</f>
        <v>#REF!</v>
      </c>
      <c r="I129" s="15" t="e">
        <f>+#REF!</f>
        <v>#REF!</v>
      </c>
      <c r="J129" s="15" t="e">
        <f>+#REF!</f>
        <v>#REF!</v>
      </c>
      <c r="K129" s="15" t="e">
        <f>+#REF!</f>
        <v>#REF!</v>
      </c>
      <c r="L129" s="15" t="e">
        <f>+#REF!</f>
        <v>#REF!</v>
      </c>
    </row>
    <row r="130" spans="3:12" ht="21.75" customHeight="1" x14ac:dyDescent="0.25">
      <c r="C130" s="14">
        <v>122</v>
      </c>
      <c r="D130" s="15" t="e">
        <f>+#REF!</f>
        <v>#REF!</v>
      </c>
      <c r="E130" s="15" t="e">
        <f>+#REF!</f>
        <v>#REF!</v>
      </c>
      <c r="F130" s="15" t="e">
        <f>+#REF!</f>
        <v>#REF!</v>
      </c>
      <c r="G130" s="15" t="e">
        <f>+#REF!</f>
        <v>#REF!</v>
      </c>
      <c r="H130" s="15" t="e">
        <f>+#REF!</f>
        <v>#REF!</v>
      </c>
      <c r="I130" s="15" t="e">
        <f>+#REF!</f>
        <v>#REF!</v>
      </c>
      <c r="J130" s="15" t="e">
        <f>+#REF!</f>
        <v>#REF!</v>
      </c>
      <c r="K130" s="15" t="e">
        <f>+#REF!</f>
        <v>#REF!</v>
      </c>
      <c r="L130" s="15" t="e">
        <f>+#REF!</f>
        <v>#REF!</v>
      </c>
    </row>
    <row r="131" spans="3:12" ht="21.75" customHeight="1" x14ac:dyDescent="0.25">
      <c r="C131" s="14">
        <v>123</v>
      </c>
      <c r="D131" s="15" t="e">
        <f>+#REF!</f>
        <v>#REF!</v>
      </c>
      <c r="E131" s="15" t="e">
        <f>+#REF!</f>
        <v>#REF!</v>
      </c>
      <c r="F131" s="15" t="e">
        <f>+#REF!</f>
        <v>#REF!</v>
      </c>
      <c r="G131" s="15" t="e">
        <f>+#REF!</f>
        <v>#REF!</v>
      </c>
      <c r="H131" s="15" t="e">
        <f>+#REF!</f>
        <v>#REF!</v>
      </c>
      <c r="I131" s="15" t="e">
        <f>+#REF!</f>
        <v>#REF!</v>
      </c>
      <c r="J131" s="15" t="e">
        <f>+#REF!</f>
        <v>#REF!</v>
      </c>
      <c r="K131" s="15" t="e">
        <f>+#REF!</f>
        <v>#REF!</v>
      </c>
      <c r="L131" s="15" t="e">
        <f>+#REF!</f>
        <v>#REF!</v>
      </c>
    </row>
    <row r="132" spans="3:12" ht="21.75" customHeight="1" x14ac:dyDescent="0.25">
      <c r="C132" s="14">
        <v>124</v>
      </c>
      <c r="D132" s="15" t="e">
        <f>+#REF!</f>
        <v>#REF!</v>
      </c>
      <c r="E132" s="15" t="e">
        <f>+#REF!</f>
        <v>#REF!</v>
      </c>
      <c r="F132" s="15" t="e">
        <f>+#REF!</f>
        <v>#REF!</v>
      </c>
      <c r="G132" s="15" t="e">
        <f>+#REF!</f>
        <v>#REF!</v>
      </c>
      <c r="H132" s="15" t="e">
        <f>+#REF!</f>
        <v>#REF!</v>
      </c>
      <c r="I132" s="15" t="e">
        <f>+#REF!</f>
        <v>#REF!</v>
      </c>
      <c r="J132" s="15" t="e">
        <f>+#REF!</f>
        <v>#REF!</v>
      </c>
      <c r="K132" s="15" t="e">
        <f>+#REF!</f>
        <v>#REF!</v>
      </c>
      <c r="L132" s="15" t="e">
        <f>+#REF!</f>
        <v>#REF!</v>
      </c>
    </row>
    <row r="133" spans="3:12" ht="21.75" customHeight="1" x14ac:dyDescent="0.25">
      <c r="C133" s="14">
        <v>125</v>
      </c>
      <c r="D133" s="15" t="e">
        <f>+#REF!</f>
        <v>#REF!</v>
      </c>
      <c r="E133" s="15" t="e">
        <f>+#REF!</f>
        <v>#REF!</v>
      </c>
      <c r="F133" s="15" t="e">
        <f>+#REF!</f>
        <v>#REF!</v>
      </c>
      <c r="G133" s="15" t="e">
        <f>+#REF!</f>
        <v>#REF!</v>
      </c>
      <c r="H133" s="15" t="e">
        <f>+#REF!</f>
        <v>#REF!</v>
      </c>
      <c r="I133" s="15" t="e">
        <f>+#REF!</f>
        <v>#REF!</v>
      </c>
      <c r="J133" s="15" t="e">
        <f>+#REF!</f>
        <v>#REF!</v>
      </c>
      <c r="K133" s="15" t="e">
        <f>+#REF!</f>
        <v>#REF!</v>
      </c>
      <c r="L133" s="15" t="e">
        <f>+#REF!</f>
        <v>#REF!</v>
      </c>
    </row>
    <row r="134" spans="3:12" ht="21.75" customHeight="1" x14ac:dyDescent="0.25">
      <c r="C134" s="14">
        <f t="shared" ref="C134:C144" si="2">+C133+1</f>
        <v>126</v>
      </c>
      <c r="D134" s="15" t="e">
        <f>+#REF!</f>
        <v>#REF!</v>
      </c>
      <c r="E134" s="15" t="e">
        <f>+#REF!</f>
        <v>#REF!</v>
      </c>
      <c r="F134" s="15" t="e">
        <f>+#REF!</f>
        <v>#REF!</v>
      </c>
      <c r="G134" s="15" t="e">
        <f>+#REF!</f>
        <v>#REF!</v>
      </c>
      <c r="H134" s="15" t="e">
        <f>+#REF!</f>
        <v>#REF!</v>
      </c>
      <c r="I134" s="15" t="e">
        <f>+#REF!</f>
        <v>#REF!</v>
      </c>
      <c r="J134" s="15" t="e">
        <f>+#REF!</f>
        <v>#REF!</v>
      </c>
      <c r="K134" s="15" t="e">
        <f>+#REF!</f>
        <v>#REF!</v>
      </c>
      <c r="L134" s="15" t="e">
        <f>+#REF!</f>
        <v>#REF!</v>
      </c>
    </row>
    <row r="135" spans="3:12" ht="21.75" customHeight="1" x14ac:dyDescent="0.25">
      <c r="C135" s="14">
        <f t="shared" si="2"/>
        <v>127</v>
      </c>
      <c r="D135" s="15" t="e">
        <f>+#REF!</f>
        <v>#REF!</v>
      </c>
      <c r="E135" s="15" t="e">
        <f>+#REF!</f>
        <v>#REF!</v>
      </c>
      <c r="F135" s="15" t="e">
        <f>+#REF!</f>
        <v>#REF!</v>
      </c>
      <c r="G135" s="15" t="e">
        <f>+#REF!</f>
        <v>#REF!</v>
      </c>
      <c r="H135" s="15" t="e">
        <f>+#REF!</f>
        <v>#REF!</v>
      </c>
      <c r="I135" s="15" t="e">
        <f>+#REF!</f>
        <v>#REF!</v>
      </c>
      <c r="J135" s="15" t="e">
        <f>+#REF!</f>
        <v>#REF!</v>
      </c>
      <c r="K135" s="15" t="e">
        <f>+#REF!</f>
        <v>#REF!</v>
      </c>
      <c r="L135" s="15" t="e">
        <f>+#REF!</f>
        <v>#REF!</v>
      </c>
    </row>
    <row r="136" spans="3:12" ht="21.75" customHeight="1" x14ac:dyDescent="0.25">
      <c r="C136" s="14">
        <f t="shared" si="2"/>
        <v>128</v>
      </c>
      <c r="D136" s="15" t="e">
        <f>+#REF!</f>
        <v>#REF!</v>
      </c>
      <c r="E136" s="15" t="e">
        <f>+#REF!</f>
        <v>#REF!</v>
      </c>
      <c r="F136" s="15" t="e">
        <f>+#REF!</f>
        <v>#REF!</v>
      </c>
      <c r="G136" s="15" t="e">
        <f>+#REF!</f>
        <v>#REF!</v>
      </c>
      <c r="H136" s="15" t="e">
        <f>+#REF!</f>
        <v>#REF!</v>
      </c>
      <c r="I136" s="15" t="e">
        <f>+#REF!</f>
        <v>#REF!</v>
      </c>
      <c r="J136" s="15" t="e">
        <f>+#REF!</f>
        <v>#REF!</v>
      </c>
      <c r="K136" s="15" t="e">
        <f>+#REF!</f>
        <v>#REF!</v>
      </c>
      <c r="L136" s="15" t="e">
        <f>+#REF!</f>
        <v>#REF!</v>
      </c>
    </row>
    <row r="137" spans="3:12" ht="21.75" customHeight="1" x14ac:dyDescent="0.25">
      <c r="C137" s="14">
        <f t="shared" si="2"/>
        <v>129</v>
      </c>
      <c r="D137" s="15" t="e">
        <f>+#REF!</f>
        <v>#REF!</v>
      </c>
      <c r="E137" s="15" t="e">
        <f>+#REF!</f>
        <v>#REF!</v>
      </c>
      <c r="F137" s="15" t="e">
        <f>+#REF!</f>
        <v>#REF!</v>
      </c>
      <c r="G137" s="15" t="e">
        <f>+#REF!</f>
        <v>#REF!</v>
      </c>
      <c r="H137" s="15" t="e">
        <f>+#REF!</f>
        <v>#REF!</v>
      </c>
      <c r="I137" s="15" t="e">
        <f>+#REF!</f>
        <v>#REF!</v>
      </c>
      <c r="J137" s="15" t="e">
        <f>+#REF!</f>
        <v>#REF!</v>
      </c>
      <c r="K137" s="15" t="e">
        <f>+#REF!</f>
        <v>#REF!</v>
      </c>
      <c r="L137" s="15" t="e">
        <f>+#REF!</f>
        <v>#REF!</v>
      </c>
    </row>
    <row r="138" spans="3:12" ht="21.75" customHeight="1" x14ac:dyDescent="0.25">
      <c r="C138" s="14">
        <f t="shared" si="2"/>
        <v>130</v>
      </c>
      <c r="D138" s="15" t="e">
        <f>+#REF!</f>
        <v>#REF!</v>
      </c>
      <c r="E138" s="15" t="e">
        <f>+#REF!</f>
        <v>#REF!</v>
      </c>
      <c r="F138" s="15" t="e">
        <f>+#REF!</f>
        <v>#REF!</v>
      </c>
      <c r="G138" s="15" t="e">
        <f>+#REF!</f>
        <v>#REF!</v>
      </c>
      <c r="H138" s="15" t="e">
        <f>+#REF!</f>
        <v>#REF!</v>
      </c>
      <c r="I138" s="15" t="e">
        <f>+#REF!</f>
        <v>#REF!</v>
      </c>
      <c r="J138" s="15" t="e">
        <f>+#REF!</f>
        <v>#REF!</v>
      </c>
      <c r="K138" s="15" t="e">
        <f>+#REF!</f>
        <v>#REF!</v>
      </c>
      <c r="L138" s="15" t="e">
        <f>+#REF!</f>
        <v>#REF!</v>
      </c>
    </row>
    <row r="139" spans="3:12" ht="21.75" customHeight="1" x14ac:dyDescent="0.25">
      <c r="C139" s="14">
        <f t="shared" si="2"/>
        <v>131</v>
      </c>
      <c r="D139" s="15" t="e">
        <f>+#REF!</f>
        <v>#REF!</v>
      </c>
      <c r="E139" s="15" t="e">
        <f>+#REF!</f>
        <v>#REF!</v>
      </c>
      <c r="F139" s="15" t="e">
        <f>+#REF!</f>
        <v>#REF!</v>
      </c>
      <c r="G139" s="15" t="e">
        <f>+#REF!</f>
        <v>#REF!</v>
      </c>
      <c r="H139" s="15" t="e">
        <f>+#REF!</f>
        <v>#REF!</v>
      </c>
      <c r="I139" s="15" t="e">
        <f>+#REF!</f>
        <v>#REF!</v>
      </c>
      <c r="J139" s="15" t="e">
        <f>+#REF!</f>
        <v>#REF!</v>
      </c>
      <c r="K139" s="15" t="e">
        <f>+#REF!</f>
        <v>#REF!</v>
      </c>
      <c r="L139" s="15" t="e">
        <f>+#REF!</f>
        <v>#REF!</v>
      </c>
    </row>
    <row r="140" spans="3:12" ht="21.75" customHeight="1" x14ac:dyDescent="0.25">
      <c r="C140" s="14">
        <f t="shared" si="2"/>
        <v>132</v>
      </c>
      <c r="D140" s="15" t="e">
        <f>+#REF!</f>
        <v>#REF!</v>
      </c>
      <c r="E140" s="15" t="e">
        <f>+#REF!</f>
        <v>#REF!</v>
      </c>
      <c r="F140" s="15" t="e">
        <f>+#REF!</f>
        <v>#REF!</v>
      </c>
      <c r="G140" s="15" t="e">
        <f>+#REF!</f>
        <v>#REF!</v>
      </c>
      <c r="H140" s="15" t="e">
        <f>+#REF!</f>
        <v>#REF!</v>
      </c>
      <c r="I140" s="15" t="e">
        <f>+#REF!</f>
        <v>#REF!</v>
      </c>
      <c r="J140" s="15" t="e">
        <f>+#REF!</f>
        <v>#REF!</v>
      </c>
      <c r="K140" s="15" t="e">
        <f>+#REF!</f>
        <v>#REF!</v>
      </c>
      <c r="L140" s="15" t="e">
        <f>+#REF!</f>
        <v>#REF!</v>
      </c>
    </row>
    <row r="141" spans="3:12" ht="21.75" customHeight="1" x14ac:dyDescent="0.25">
      <c r="C141" s="14">
        <f t="shared" si="2"/>
        <v>133</v>
      </c>
      <c r="D141" s="15" t="e">
        <f>+#REF!</f>
        <v>#REF!</v>
      </c>
      <c r="E141" s="15" t="e">
        <f>+#REF!</f>
        <v>#REF!</v>
      </c>
      <c r="F141" s="15" t="e">
        <f>+#REF!</f>
        <v>#REF!</v>
      </c>
      <c r="G141" s="15" t="e">
        <f>+#REF!</f>
        <v>#REF!</v>
      </c>
      <c r="H141" s="15" t="e">
        <f>+#REF!</f>
        <v>#REF!</v>
      </c>
      <c r="I141" s="15" t="e">
        <f>+#REF!</f>
        <v>#REF!</v>
      </c>
      <c r="J141" s="15" t="e">
        <f>+#REF!</f>
        <v>#REF!</v>
      </c>
      <c r="K141" s="15" t="e">
        <f>+#REF!</f>
        <v>#REF!</v>
      </c>
      <c r="L141" s="15" t="e">
        <f>+#REF!</f>
        <v>#REF!</v>
      </c>
    </row>
    <row r="142" spans="3:12" ht="21.75" customHeight="1" x14ac:dyDescent="0.25">
      <c r="C142" s="14">
        <f t="shared" si="2"/>
        <v>134</v>
      </c>
      <c r="D142" s="15" t="e">
        <f>+#REF!</f>
        <v>#REF!</v>
      </c>
      <c r="E142" s="15" t="e">
        <f>+#REF!</f>
        <v>#REF!</v>
      </c>
      <c r="F142" s="15" t="e">
        <f>+#REF!</f>
        <v>#REF!</v>
      </c>
      <c r="G142" s="15" t="e">
        <f>+#REF!</f>
        <v>#REF!</v>
      </c>
      <c r="H142" s="15" t="e">
        <f>+#REF!</f>
        <v>#REF!</v>
      </c>
      <c r="I142" s="15" t="e">
        <f>+#REF!</f>
        <v>#REF!</v>
      </c>
      <c r="J142" s="15" t="e">
        <f>+#REF!</f>
        <v>#REF!</v>
      </c>
      <c r="K142" s="15" t="e">
        <f>+#REF!</f>
        <v>#REF!</v>
      </c>
      <c r="L142" s="15" t="e">
        <f>+#REF!</f>
        <v>#REF!</v>
      </c>
    </row>
    <row r="143" spans="3:12" ht="21.75" customHeight="1" x14ac:dyDescent="0.25">
      <c r="C143" s="14">
        <f t="shared" si="2"/>
        <v>135</v>
      </c>
      <c r="D143" s="15" t="e">
        <f>+#REF!</f>
        <v>#REF!</v>
      </c>
      <c r="E143" s="15" t="e">
        <f>+#REF!</f>
        <v>#REF!</v>
      </c>
      <c r="F143" s="15" t="e">
        <f>+#REF!</f>
        <v>#REF!</v>
      </c>
      <c r="G143" s="15" t="e">
        <f>+#REF!</f>
        <v>#REF!</v>
      </c>
      <c r="H143" s="15" t="e">
        <f>+#REF!</f>
        <v>#REF!</v>
      </c>
      <c r="I143" s="15" t="e">
        <f>+#REF!</f>
        <v>#REF!</v>
      </c>
      <c r="J143" s="15" t="e">
        <f>+#REF!</f>
        <v>#REF!</v>
      </c>
      <c r="K143" s="15" t="e">
        <f>+#REF!</f>
        <v>#REF!</v>
      </c>
      <c r="L143" s="15" t="e">
        <f>+#REF!</f>
        <v>#REF!</v>
      </c>
    </row>
    <row r="144" spans="3:12" ht="21.75" customHeight="1" x14ac:dyDescent="0.25">
      <c r="C144" s="14">
        <f t="shared" si="2"/>
        <v>136</v>
      </c>
      <c r="D144" s="15" t="e">
        <f>+#REF!</f>
        <v>#REF!</v>
      </c>
      <c r="E144" s="15" t="e">
        <f>+#REF!</f>
        <v>#REF!</v>
      </c>
      <c r="F144" s="15" t="e">
        <f>+#REF!</f>
        <v>#REF!</v>
      </c>
      <c r="G144" s="15" t="e">
        <f>+#REF!</f>
        <v>#REF!</v>
      </c>
      <c r="H144" s="15" t="e">
        <f>+#REF!</f>
        <v>#REF!</v>
      </c>
      <c r="I144" s="15" t="e">
        <f>+#REF!</f>
        <v>#REF!</v>
      </c>
      <c r="J144" s="15" t="e">
        <f>+#REF!</f>
        <v>#REF!</v>
      </c>
      <c r="K144" s="15" t="e">
        <f>+#REF!</f>
        <v>#REF!</v>
      </c>
      <c r="L144" s="15" t="e">
        <f>+#REF!</f>
        <v>#REF!</v>
      </c>
    </row>
    <row r="145" spans="3:12" ht="21.75" customHeight="1" x14ac:dyDescent="0.25">
      <c r="C145" s="14"/>
      <c r="D145" s="15"/>
      <c r="E145" s="15"/>
      <c r="F145" s="15"/>
      <c r="G145" s="15"/>
      <c r="H145" s="15"/>
      <c r="I145" s="15"/>
      <c r="J145" s="15"/>
      <c r="K145" s="15"/>
      <c r="L145" s="1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4:J142"/>
  <sheetViews>
    <sheetView showGridLines="0" workbookViewId="0"/>
  </sheetViews>
  <sheetFormatPr defaultColWidth="9.140625" defaultRowHeight="15" customHeight="1" x14ac:dyDescent="0.25"/>
  <cols>
    <col min="1" max="16384" width="9.140625" style="1"/>
  </cols>
  <sheetData>
    <row r="4" spans="1:10" ht="15" customHeight="1" x14ac:dyDescent="0.25">
      <c r="A4" s="2" t="s">
        <v>17</v>
      </c>
      <c r="B4" s="2" t="e">
        <f>+#REF!</f>
        <v>#REF!</v>
      </c>
      <c r="C4" s="2" t="e">
        <f>+#REF!</f>
        <v>#REF!</v>
      </c>
      <c r="D4" s="2" t="e">
        <f>+#REF!</f>
        <v>#REF!</v>
      </c>
      <c r="E4" s="2" t="e">
        <f>+#REF!</f>
        <v>#REF!</v>
      </c>
      <c r="F4" s="2" t="e">
        <f>+#REF!</f>
        <v>#REF!</v>
      </c>
      <c r="G4" s="2" t="e">
        <f>+#REF!</f>
        <v>#REF!</v>
      </c>
      <c r="H4" s="2" t="e">
        <f>+#REF!</f>
        <v>#REF!</v>
      </c>
      <c r="I4" s="2" t="e">
        <f>+#REF!</f>
        <v>#REF!</v>
      </c>
      <c r="J4" s="2" t="e">
        <f>+#REF!</f>
        <v>#REF!</v>
      </c>
    </row>
    <row r="5" spans="1:10" ht="15" customHeight="1" x14ac:dyDescent="0.25">
      <c r="A5" s="10" t="e">
        <f>+#REF!</f>
        <v>#REF!</v>
      </c>
      <c r="B5" s="6" t="e">
        <f>+#REF!</f>
        <v>#REF!</v>
      </c>
      <c r="C5" s="6" t="e">
        <f>+#REF!</f>
        <v>#REF!</v>
      </c>
      <c r="D5" s="6" t="e">
        <f>+#REF!</f>
        <v>#REF!</v>
      </c>
      <c r="E5" s="6" t="e">
        <f>+#REF!</f>
        <v>#REF!</v>
      </c>
      <c r="F5" s="6" t="e">
        <f>+#REF!</f>
        <v>#REF!</v>
      </c>
      <c r="G5" s="6" t="e">
        <f>+#REF!</f>
        <v>#REF!</v>
      </c>
      <c r="H5" s="6" t="e">
        <f>+#REF!</f>
        <v>#REF!</v>
      </c>
      <c r="I5" s="6" t="e">
        <f>+#REF!</f>
        <v>#REF!</v>
      </c>
      <c r="J5" s="6" t="e">
        <f>+#REF!</f>
        <v>#REF!</v>
      </c>
    </row>
    <row r="6" spans="1:10" ht="15" customHeight="1" x14ac:dyDescent="0.25">
      <c r="A6" s="10" t="e">
        <f>+#REF!</f>
        <v>#REF!</v>
      </c>
      <c r="B6" s="6" t="e">
        <f>+#REF!</f>
        <v>#REF!</v>
      </c>
      <c r="C6" s="6" t="e">
        <f>+#REF!</f>
        <v>#REF!</v>
      </c>
      <c r="D6" s="6" t="e">
        <f>+#REF!</f>
        <v>#REF!</v>
      </c>
      <c r="E6" s="6" t="e">
        <f>+#REF!</f>
        <v>#REF!</v>
      </c>
      <c r="F6" s="6" t="e">
        <f>+#REF!</f>
        <v>#REF!</v>
      </c>
      <c r="G6" s="6" t="e">
        <f>+#REF!</f>
        <v>#REF!</v>
      </c>
      <c r="H6" s="6" t="e">
        <f>+#REF!</f>
        <v>#REF!</v>
      </c>
      <c r="I6" s="6" t="e">
        <f>+#REF!</f>
        <v>#REF!</v>
      </c>
      <c r="J6" s="6" t="e">
        <f>+#REF!</f>
        <v>#REF!</v>
      </c>
    </row>
    <row r="7" spans="1:10" ht="15" customHeight="1" x14ac:dyDescent="0.25">
      <c r="A7" s="10" t="e">
        <f>+#REF!</f>
        <v>#REF!</v>
      </c>
      <c r="B7" s="6" t="e">
        <f>+#REF!</f>
        <v>#REF!</v>
      </c>
      <c r="C7" s="6" t="e">
        <f>+#REF!</f>
        <v>#REF!</v>
      </c>
      <c r="D7" s="6" t="e">
        <f>+#REF!</f>
        <v>#REF!</v>
      </c>
      <c r="E7" s="6" t="e">
        <f>+#REF!</f>
        <v>#REF!</v>
      </c>
      <c r="F7" s="6" t="e">
        <f>+#REF!</f>
        <v>#REF!</v>
      </c>
      <c r="G7" s="6" t="e">
        <f>+#REF!</f>
        <v>#REF!</v>
      </c>
      <c r="H7" s="6" t="e">
        <f>+#REF!</f>
        <v>#REF!</v>
      </c>
      <c r="I7" s="6" t="e">
        <f>+#REF!</f>
        <v>#REF!</v>
      </c>
      <c r="J7" s="6" t="e">
        <f>+#REF!</f>
        <v>#REF!</v>
      </c>
    </row>
    <row r="8" spans="1:10" ht="15" customHeight="1" x14ac:dyDescent="0.25">
      <c r="A8" s="10" t="e">
        <f>+#REF!</f>
        <v>#REF!</v>
      </c>
      <c r="B8" s="6" t="e">
        <f>+#REF!</f>
        <v>#REF!</v>
      </c>
      <c r="C8" s="6" t="e">
        <f>+#REF!</f>
        <v>#REF!</v>
      </c>
      <c r="D8" s="6" t="e">
        <f>+#REF!</f>
        <v>#REF!</v>
      </c>
      <c r="E8" s="6" t="e">
        <f>+#REF!</f>
        <v>#REF!</v>
      </c>
      <c r="F8" s="6" t="e">
        <f>+#REF!</f>
        <v>#REF!</v>
      </c>
      <c r="G8" s="6" t="e">
        <f>+#REF!</f>
        <v>#REF!</v>
      </c>
      <c r="H8" s="6" t="e">
        <f>+#REF!</f>
        <v>#REF!</v>
      </c>
      <c r="I8" s="6" t="e">
        <f>+#REF!</f>
        <v>#REF!</v>
      </c>
      <c r="J8" s="6" t="e">
        <f>+#REF!</f>
        <v>#REF!</v>
      </c>
    </row>
    <row r="9" spans="1:10" ht="15" customHeight="1" x14ac:dyDescent="0.25">
      <c r="A9" s="10" t="e">
        <f>+#REF!</f>
        <v>#REF!</v>
      </c>
      <c r="B9" s="6" t="e">
        <f>+#REF!</f>
        <v>#REF!</v>
      </c>
      <c r="C9" s="6" t="e">
        <f>+#REF!</f>
        <v>#REF!</v>
      </c>
      <c r="D9" s="6" t="e">
        <f>+#REF!</f>
        <v>#REF!</v>
      </c>
      <c r="E9" s="6" t="e">
        <f>+#REF!</f>
        <v>#REF!</v>
      </c>
      <c r="F9" s="6" t="e">
        <f>+#REF!</f>
        <v>#REF!</v>
      </c>
      <c r="G9" s="6" t="e">
        <f>+#REF!</f>
        <v>#REF!</v>
      </c>
      <c r="H9" s="6" t="e">
        <f>+#REF!</f>
        <v>#REF!</v>
      </c>
      <c r="I9" s="6" t="e">
        <f>+#REF!</f>
        <v>#REF!</v>
      </c>
      <c r="J9" s="6" t="e">
        <f>+#REF!</f>
        <v>#REF!</v>
      </c>
    </row>
    <row r="10" spans="1:10" ht="15" customHeight="1" x14ac:dyDescent="0.25">
      <c r="A10" s="10" t="e">
        <f>+#REF!</f>
        <v>#REF!</v>
      </c>
      <c r="B10" s="6" t="e">
        <f>+#REF!</f>
        <v>#REF!</v>
      </c>
      <c r="C10" s="6" t="e">
        <f>+#REF!</f>
        <v>#REF!</v>
      </c>
      <c r="D10" s="6" t="e">
        <f>+#REF!</f>
        <v>#REF!</v>
      </c>
      <c r="E10" s="6" t="e">
        <f>+#REF!</f>
        <v>#REF!</v>
      </c>
      <c r="F10" s="6" t="e">
        <f>+#REF!</f>
        <v>#REF!</v>
      </c>
      <c r="G10" s="6" t="e">
        <f>+#REF!</f>
        <v>#REF!</v>
      </c>
      <c r="H10" s="6" t="e">
        <f>+#REF!</f>
        <v>#REF!</v>
      </c>
      <c r="I10" s="6" t="e">
        <f>+#REF!</f>
        <v>#REF!</v>
      </c>
      <c r="J10" s="6" t="e">
        <f>+#REF!</f>
        <v>#REF!</v>
      </c>
    </row>
    <row r="11" spans="1:10" ht="15" customHeight="1" x14ac:dyDescent="0.25">
      <c r="A11" s="10" t="e">
        <f>+#REF!</f>
        <v>#REF!</v>
      </c>
      <c r="B11" s="6" t="e">
        <f>+#REF!</f>
        <v>#REF!</v>
      </c>
      <c r="C11" s="6" t="e">
        <f>+#REF!</f>
        <v>#REF!</v>
      </c>
      <c r="D11" s="6" t="e">
        <f>+#REF!</f>
        <v>#REF!</v>
      </c>
      <c r="E11" s="6" t="e">
        <f>+#REF!</f>
        <v>#REF!</v>
      </c>
      <c r="F11" s="6" t="e">
        <f>+#REF!</f>
        <v>#REF!</v>
      </c>
      <c r="G11" s="6" t="e">
        <f>+#REF!</f>
        <v>#REF!</v>
      </c>
      <c r="H11" s="6" t="e">
        <f>+#REF!</f>
        <v>#REF!</v>
      </c>
      <c r="I11" s="6" t="e">
        <f>+#REF!</f>
        <v>#REF!</v>
      </c>
      <c r="J11" s="6" t="e">
        <f>+#REF!</f>
        <v>#REF!</v>
      </c>
    </row>
    <row r="12" spans="1:10" ht="15" customHeight="1" x14ac:dyDescent="0.25">
      <c r="A12" s="10" t="e">
        <f>+#REF!</f>
        <v>#REF!</v>
      </c>
      <c r="B12" s="6" t="e">
        <f>+#REF!</f>
        <v>#REF!</v>
      </c>
      <c r="C12" s="6" t="e">
        <f>+#REF!</f>
        <v>#REF!</v>
      </c>
      <c r="D12" s="6" t="e">
        <f>+#REF!</f>
        <v>#REF!</v>
      </c>
      <c r="E12" s="6" t="e">
        <f>+#REF!</f>
        <v>#REF!</v>
      </c>
      <c r="F12" s="6" t="e">
        <f>+#REF!</f>
        <v>#REF!</v>
      </c>
      <c r="G12" s="6" t="e">
        <f>+#REF!</f>
        <v>#REF!</v>
      </c>
      <c r="H12" s="6" t="e">
        <f>+#REF!</f>
        <v>#REF!</v>
      </c>
      <c r="I12" s="6" t="e">
        <f>+#REF!</f>
        <v>#REF!</v>
      </c>
      <c r="J12" s="6" t="e">
        <f>+#REF!</f>
        <v>#REF!</v>
      </c>
    </row>
    <row r="13" spans="1:10" ht="15" customHeight="1" x14ac:dyDescent="0.25">
      <c r="A13" s="10" t="e">
        <f>+#REF!</f>
        <v>#REF!</v>
      </c>
      <c r="B13" s="6" t="e">
        <f>+#REF!</f>
        <v>#REF!</v>
      </c>
      <c r="C13" s="6" t="e">
        <f>+#REF!</f>
        <v>#REF!</v>
      </c>
      <c r="D13" s="6" t="e">
        <f>+#REF!</f>
        <v>#REF!</v>
      </c>
      <c r="E13" s="6" t="e">
        <f>+#REF!</f>
        <v>#REF!</v>
      </c>
      <c r="F13" s="6" t="e">
        <f>+#REF!</f>
        <v>#REF!</v>
      </c>
      <c r="G13" s="6" t="e">
        <f>+#REF!</f>
        <v>#REF!</v>
      </c>
      <c r="H13" s="6" t="e">
        <f>+#REF!</f>
        <v>#REF!</v>
      </c>
      <c r="I13" s="6" t="e">
        <f>+#REF!</f>
        <v>#REF!</v>
      </c>
      <c r="J13" s="6" t="e">
        <f>+#REF!</f>
        <v>#REF!</v>
      </c>
    </row>
    <row r="14" spans="1:10" ht="15" customHeight="1" x14ac:dyDescent="0.25">
      <c r="A14" s="10" t="e">
        <f>+#REF!</f>
        <v>#REF!</v>
      </c>
      <c r="B14" s="6" t="e">
        <f>+#REF!</f>
        <v>#REF!</v>
      </c>
      <c r="C14" s="6" t="e">
        <f>+#REF!</f>
        <v>#REF!</v>
      </c>
      <c r="D14" s="6" t="e">
        <f>+#REF!</f>
        <v>#REF!</v>
      </c>
      <c r="E14" s="6" t="e">
        <f>+#REF!</f>
        <v>#REF!</v>
      </c>
      <c r="F14" s="6" t="e">
        <f>+#REF!</f>
        <v>#REF!</v>
      </c>
      <c r="G14" s="6" t="e">
        <f>+#REF!</f>
        <v>#REF!</v>
      </c>
      <c r="H14" s="6" t="e">
        <f>+#REF!</f>
        <v>#REF!</v>
      </c>
      <c r="I14" s="6" t="e">
        <f>+#REF!</f>
        <v>#REF!</v>
      </c>
      <c r="J14" s="6" t="e">
        <f>+#REF!</f>
        <v>#REF!</v>
      </c>
    </row>
    <row r="15" spans="1:10" ht="15" customHeight="1" x14ac:dyDescent="0.25">
      <c r="A15" s="10" t="e">
        <f>+#REF!</f>
        <v>#REF!</v>
      </c>
      <c r="B15" s="6" t="e">
        <f>+#REF!</f>
        <v>#REF!</v>
      </c>
      <c r="C15" s="6" t="e">
        <f>+#REF!</f>
        <v>#REF!</v>
      </c>
      <c r="D15" s="6" t="e">
        <f>+#REF!</f>
        <v>#REF!</v>
      </c>
      <c r="E15" s="6" t="e">
        <f>+#REF!</f>
        <v>#REF!</v>
      </c>
      <c r="F15" s="6" t="e">
        <f>+#REF!</f>
        <v>#REF!</v>
      </c>
      <c r="G15" s="6" t="e">
        <f>+#REF!</f>
        <v>#REF!</v>
      </c>
      <c r="H15" s="6" t="e">
        <f>+#REF!</f>
        <v>#REF!</v>
      </c>
      <c r="I15" s="6" t="e">
        <f>+#REF!</f>
        <v>#REF!</v>
      </c>
      <c r="J15" s="6" t="e">
        <f>+#REF!</f>
        <v>#REF!</v>
      </c>
    </row>
    <row r="16" spans="1:10" ht="15" customHeight="1" x14ac:dyDescent="0.25">
      <c r="A16" s="10" t="e">
        <f>+#REF!</f>
        <v>#REF!</v>
      </c>
      <c r="B16" s="6" t="e">
        <f>+#REF!</f>
        <v>#REF!</v>
      </c>
      <c r="C16" s="6" t="e">
        <f>+#REF!</f>
        <v>#REF!</v>
      </c>
      <c r="D16" s="6" t="e">
        <f>+#REF!</f>
        <v>#REF!</v>
      </c>
      <c r="E16" s="6" t="e">
        <f>+#REF!</f>
        <v>#REF!</v>
      </c>
      <c r="F16" s="6" t="e">
        <f>+#REF!</f>
        <v>#REF!</v>
      </c>
      <c r="G16" s="6" t="e">
        <f>+#REF!</f>
        <v>#REF!</v>
      </c>
      <c r="H16" s="6" t="e">
        <f>+#REF!</f>
        <v>#REF!</v>
      </c>
      <c r="I16" s="6" t="e">
        <f>+#REF!</f>
        <v>#REF!</v>
      </c>
      <c r="J16" s="6" t="e">
        <f>+#REF!</f>
        <v>#REF!</v>
      </c>
    </row>
    <row r="17" spans="1:10" ht="15" customHeight="1" x14ac:dyDescent="0.25">
      <c r="A17" s="10" t="e">
        <f>+#REF!</f>
        <v>#REF!</v>
      </c>
      <c r="B17" s="6" t="e">
        <f>+#REF!</f>
        <v>#REF!</v>
      </c>
      <c r="C17" s="6" t="e">
        <f>+#REF!</f>
        <v>#REF!</v>
      </c>
      <c r="D17" s="6" t="e">
        <f>+#REF!</f>
        <v>#REF!</v>
      </c>
      <c r="E17" s="6" t="e">
        <f>+#REF!</f>
        <v>#REF!</v>
      </c>
      <c r="F17" s="6" t="e">
        <f>+#REF!</f>
        <v>#REF!</v>
      </c>
      <c r="G17" s="6" t="e">
        <f>+#REF!</f>
        <v>#REF!</v>
      </c>
      <c r="H17" s="6" t="e">
        <f>+#REF!</f>
        <v>#REF!</v>
      </c>
      <c r="I17" s="6" t="e">
        <f>+#REF!</f>
        <v>#REF!</v>
      </c>
      <c r="J17" s="6" t="e">
        <f>+#REF!</f>
        <v>#REF!</v>
      </c>
    </row>
    <row r="18" spans="1:10" ht="15" customHeight="1" x14ac:dyDescent="0.25">
      <c r="A18" s="10" t="e">
        <f>+#REF!</f>
        <v>#REF!</v>
      </c>
      <c r="B18" s="6" t="e">
        <f>+#REF!</f>
        <v>#REF!</v>
      </c>
      <c r="C18" s="6" t="e">
        <f>+#REF!</f>
        <v>#REF!</v>
      </c>
      <c r="D18" s="6" t="e">
        <f>+#REF!</f>
        <v>#REF!</v>
      </c>
      <c r="E18" s="6" t="e">
        <f>+#REF!</f>
        <v>#REF!</v>
      </c>
      <c r="F18" s="6" t="e">
        <f>+#REF!</f>
        <v>#REF!</v>
      </c>
      <c r="G18" s="6" t="e">
        <f>+#REF!</f>
        <v>#REF!</v>
      </c>
      <c r="H18" s="6" t="e">
        <f>+#REF!</f>
        <v>#REF!</v>
      </c>
      <c r="I18" s="6" t="e">
        <f>+#REF!</f>
        <v>#REF!</v>
      </c>
      <c r="J18" s="6" t="e">
        <f>+#REF!</f>
        <v>#REF!</v>
      </c>
    </row>
    <row r="19" spans="1:10" ht="15" customHeight="1" x14ac:dyDescent="0.25">
      <c r="A19" s="10" t="e">
        <f>+#REF!</f>
        <v>#REF!</v>
      </c>
      <c r="B19" s="6" t="e">
        <f>+#REF!</f>
        <v>#REF!</v>
      </c>
      <c r="C19" s="6" t="e">
        <f>+#REF!</f>
        <v>#REF!</v>
      </c>
      <c r="D19" s="6" t="e">
        <f>+#REF!</f>
        <v>#REF!</v>
      </c>
      <c r="E19" s="6" t="e">
        <f>+#REF!</f>
        <v>#REF!</v>
      </c>
      <c r="F19" s="6" t="e">
        <f>+#REF!</f>
        <v>#REF!</v>
      </c>
      <c r="G19" s="6" t="e">
        <f>+#REF!</f>
        <v>#REF!</v>
      </c>
      <c r="H19" s="6" t="e">
        <f>+#REF!</f>
        <v>#REF!</v>
      </c>
      <c r="I19" s="6" t="e">
        <f>+#REF!</f>
        <v>#REF!</v>
      </c>
      <c r="J19" s="6" t="e">
        <f>+#REF!</f>
        <v>#REF!</v>
      </c>
    </row>
    <row r="20" spans="1:10" ht="15" customHeight="1" x14ac:dyDescent="0.25">
      <c r="A20" s="10" t="e">
        <f>+#REF!</f>
        <v>#REF!</v>
      </c>
      <c r="B20" s="6" t="e">
        <f>+#REF!</f>
        <v>#REF!</v>
      </c>
      <c r="C20" s="6" t="e">
        <f>+#REF!</f>
        <v>#REF!</v>
      </c>
      <c r="D20" s="6" t="e">
        <f>+#REF!</f>
        <v>#REF!</v>
      </c>
      <c r="E20" s="6" t="e">
        <f>+#REF!</f>
        <v>#REF!</v>
      </c>
      <c r="F20" s="6" t="e">
        <f>+#REF!</f>
        <v>#REF!</v>
      </c>
      <c r="G20" s="6" t="e">
        <f>+#REF!</f>
        <v>#REF!</v>
      </c>
      <c r="H20" s="6" t="e">
        <f>+#REF!</f>
        <v>#REF!</v>
      </c>
      <c r="I20" s="6" t="e">
        <f>+#REF!</f>
        <v>#REF!</v>
      </c>
      <c r="J20" s="6" t="e">
        <f>+#REF!</f>
        <v>#REF!</v>
      </c>
    </row>
    <row r="21" spans="1:10" ht="15" customHeight="1" x14ac:dyDescent="0.25">
      <c r="A21" s="10" t="e">
        <f>+#REF!</f>
        <v>#REF!</v>
      </c>
      <c r="B21" s="6" t="e">
        <f>+#REF!</f>
        <v>#REF!</v>
      </c>
      <c r="C21" s="6" t="e">
        <f>+#REF!</f>
        <v>#REF!</v>
      </c>
      <c r="D21" s="6" t="e">
        <f>+#REF!</f>
        <v>#REF!</v>
      </c>
      <c r="E21" s="6" t="e">
        <f>+#REF!</f>
        <v>#REF!</v>
      </c>
      <c r="F21" s="6" t="e">
        <f>+#REF!</f>
        <v>#REF!</v>
      </c>
      <c r="G21" s="6" t="e">
        <f>+#REF!</f>
        <v>#REF!</v>
      </c>
      <c r="H21" s="6" t="e">
        <f>+#REF!</f>
        <v>#REF!</v>
      </c>
      <c r="I21" s="6" t="e">
        <f>+#REF!</f>
        <v>#REF!</v>
      </c>
      <c r="J21" s="6" t="e">
        <f>+#REF!</f>
        <v>#REF!</v>
      </c>
    </row>
    <row r="22" spans="1:10" ht="15" customHeight="1" x14ac:dyDescent="0.25">
      <c r="A22" s="10" t="e">
        <f>+#REF!</f>
        <v>#REF!</v>
      </c>
      <c r="B22" s="6" t="e">
        <f>+#REF!</f>
        <v>#REF!</v>
      </c>
      <c r="C22" s="6" t="e">
        <f>+#REF!</f>
        <v>#REF!</v>
      </c>
      <c r="D22" s="6" t="e">
        <f>+#REF!</f>
        <v>#REF!</v>
      </c>
      <c r="E22" s="6" t="e">
        <f>+#REF!</f>
        <v>#REF!</v>
      </c>
      <c r="F22" s="6" t="e">
        <f>+#REF!</f>
        <v>#REF!</v>
      </c>
      <c r="G22" s="6" t="e">
        <f>+#REF!</f>
        <v>#REF!</v>
      </c>
      <c r="H22" s="6" t="e">
        <f>+#REF!</f>
        <v>#REF!</v>
      </c>
      <c r="I22" s="6" t="e">
        <f>+#REF!</f>
        <v>#REF!</v>
      </c>
      <c r="J22" s="6" t="e">
        <f>+#REF!</f>
        <v>#REF!</v>
      </c>
    </row>
    <row r="23" spans="1:10" ht="15" customHeight="1" x14ac:dyDescent="0.25">
      <c r="A23" s="10" t="e">
        <f>+#REF!</f>
        <v>#REF!</v>
      </c>
      <c r="B23" s="6" t="e">
        <f>+#REF!</f>
        <v>#REF!</v>
      </c>
      <c r="C23" s="6" t="e">
        <f>+#REF!</f>
        <v>#REF!</v>
      </c>
      <c r="D23" s="6" t="e">
        <f>+#REF!</f>
        <v>#REF!</v>
      </c>
      <c r="E23" s="6" t="e">
        <f>+#REF!</f>
        <v>#REF!</v>
      </c>
      <c r="F23" s="6" t="e">
        <f>+#REF!</f>
        <v>#REF!</v>
      </c>
      <c r="G23" s="6" t="e">
        <f>+#REF!</f>
        <v>#REF!</v>
      </c>
      <c r="H23" s="6" t="e">
        <f>+#REF!</f>
        <v>#REF!</v>
      </c>
      <c r="I23" s="6" t="e">
        <f>+#REF!</f>
        <v>#REF!</v>
      </c>
      <c r="J23" s="6" t="e">
        <f>+#REF!</f>
        <v>#REF!</v>
      </c>
    </row>
    <row r="24" spans="1:10" ht="15" customHeight="1" x14ac:dyDescent="0.25">
      <c r="A24" s="10" t="e">
        <f>+#REF!</f>
        <v>#REF!</v>
      </c>
      <c r="B24" s="6" t="e">
        <f>+#REF!</f>
        <v>#REF!</v>
      </c>
      <c r="C24" s="6" t="e">
        <f>+#REF!</f>
        <v>#REF!</v>
      </c>
      <c r="D24" s="6" t="e">
        <f>+#REF!</f>
        <v>#REF!</v>
      </c>
      <c r="E24" s="6" t="e">
        <f>+#REF!</f>
        <v>#REF!</v>
      </c>
      <c r="F24" s="6" t="e">
        <f>+#REF!</f>
        <v>#REF!</v>
      </c>
      <c r="G24" s="6" t="e">
        <f>+#REF!</f>
        <v>#REF!</v>
      </c>
      <c r="H24" s="6" t="e">
        <f>+#REF!</f>
        <v>#REF!</v>
      </c>
      <c r="I24" s="6" t="e">
        <f>+#REF!</f>
        <v>#REF!</v>
      </c>
      <c r="J24" s="6" t="e">
        <f>+#REF!</f>
        <v>#REF!</v>
      </c>
    </row>
    <row r="25" spans="1:10" ht="15" customHeight="1" x14ac:dyDescent="0.25">
      <c r="A25" s="10" t="e">
        <f>+#REF!</f>
        <v>#REF!</v>
      </c>
      <c r="B25" s="6" t="e">
        <f>+#REF!</f>
        <v>#REF!</v>
      </c>
      <c r="C25" s="6" t="e">
        <f>+#REF!</f>
        <v>#REF!</v>
      </c>
      <c r="D25" s="6" t="e">
        <f>+#REF!</f>
        <v>#REF!</v>
      </c>
      <c r="E25" s="6" t="e">
        <f>+#REF!</f>
        <v>#REF!</v>
      </c>
      <c r="F25" s="6" t="e">
        <f>+#REF!</f>
        <v>#REF!</v>
      </c>
      <c r="G25" s="6" t="e">
        <f>+#REF!</f>
        <v>#REF!</v>
      </c>
      <c r="H25" s="6" t="e">
        <f>+#REF!</f>
        <v>#REF!</v>
      </c>
      <c r="I25" s="6" t="e">
        <f>+#REF!</f>
        <v>#REF!</v>
      </c>
      <c r="J25" s="6" t="e">
        <f>+#REF!</f>
        <v>#REF!</v>
      </c>
    </row>
    <row r="26" spans="1:10" ht="15" customHeight="1" x14ac:dyDescent="0.25">
      <c r="A26" s="10" t="e">
        <f>+#REF!</f>
        <v>#REF!</v>
      </c>
      <c r="B26" s="6" t="e">
        <f>+#REF!</f>
        <v>#REF!</v>
      </c>
      <c r="C26" s="6" t="e">
        <f>+#REF!</f>
        <v>#REF!</v>
      </c>
      <c r="D26" s="6" t="e">
        <f>+#REF!</f>
        <v>#REF!</v>
      </c>
      <c r="E26" s="6" t="e">
        <f>+#REF!</f>
        <v>#REF!</v>
      </c>
      <c r="F26" s="6" t="e">
        <f>+#REF!</f>
        <v>#REF!</v>
      </c>
      <c r="G26" s="6" t="e">
        <f>+#REF!</f>
        <v>#REF!</v>
      </c>
      <c r="H26" s="6" t="e">
        <f>+#REF!</f>
        <v>#REF!</v>
      </c>
      <c r="I26" s="6" t="e">
        <f>+#REF!</f>
        <v>#REF!</v>
      </c>
      <c r="J26" s="6" t="e">
        <f>+#REF!</f>
        <v>#REF!</v>
      </c>
    </row>
    <row r="27" spans="1:10" ht="15" customHeight="1" x14ac:dyDescent="0.25">
      <c r="A27" s="10" t="e">
        <f>+#REF!</f>
        <v>#REF!</v>
      </c>
      <c r="B27" s="6" t="e">
        <f>+#REF!</f>
        <v>#REF!</v>
      </c>
      <c r="C27" s="6" t="e">
        <f>+#REF!</f>
        <v>#REF!</v>
      </c>
      <c r="D27" s="6" t="e">
        <f>+#REF!</f>
        <v>#REF!</v>
      </c>
      <c r="E27" s="6" t="e">
        <f>+#REF!</f>
        <v>#REF!</v>
      </c>
      <c r="F27" s="6" t="e">
        <f>+#REF!</f>
        <v>#REF!</v>
      </c>
      <c r="G27" s="6" t="e">
        <f>+#REF!</f>
        <v>#REF!</v>
      </c>
      <c r="H27" s="6" t="e">
        <f>+#REF!</f>
        <v>#REF!</v>
      </c>
      <c r="I27" s="6" t="e">
        <f>+#REF!</f>
        <v>#REF!</v>
      </c>
      <c r="J27" s="6" t="e">
        <f>+#REF!</f>
        <v>#REF!</v>
      </c>
    </row>
    <row r="28" spans="1:10" ht="15" customHeight="1" x14ac:dyDescent="0.25">
      <c r="A28" s="10" t="e">
        <f>+#REF!</f>
        <v>#REF!</v>
      </c>
      <c r="B28" s="6" t="e">
        <f>+#REF!</f>
        <v>#REF!</v>
      </c>
      <c r="C28" s="6" t="e">
        <f>+#REF!</f>
        <v>#REF!</v>
      </c>
      <c r="D28" s="6" t="e">
        <f>+#REF!</f>
        <v>#REF!</v>
      </c>
      <c r="E28" s="6" t="e">
        <f>+#REF!</f>
        <v>#REF!</v>
      </c>
      <c r="F28" s="6" t="e">
        <f>+#REF!</f>
        <v>#REF!</v>
      </c>
      <c r="G28" s="6" t="e">
        <f>+#REF!</f>
        <v>#REF!</v>
      </c>
      <c r="H28" s="6" t="e">
        <f>+#REF!</f>
        <v>#REF!</v>
      </c>
      <c r="I28" s="6" t="e">
        <f>+#REF!</f>
        <v>#REF!</v>
      </c>
      <c r="J28" s="6" t="e">
        <f>+#REF!</f>
        <v>#REF!</v>
      </c>
    </row>
    <row r="29" spans="1:10" ht="15" customHeight="1" x14ac:dyDescent="0.25">
      <c r="A29" s="10" t="e">
        <f>+#REF!</f>
        <v>#REF!</v>
      </c>
      <c r="B29" s="6" t="e">
        <f>+#REF!</f>
        <v>#REF!</v>
      </c>
      <c r="C29" s="6" t="e">
        <f>+#REF!</f>
        <v>#REF!</v>
      </c>
      <c r="D29" s="6" t="e">
        <f>+#REF!</f>
        <v>#REF!</v>
      </c>
      <c r="E29" s="6" t="e">
        <f>+#REF!</f>
        <v>#REF!</v>
      </c>
      <c r="F29" s="6" t="e">
        <f>+#REF!</f>
        <v>#REF!</v>
      </c>
      <c r="G29" s="6" t="e">
        <f>+#REF!</f>
        <v>#REF!</v>
      </c>
      <c r="H29" s="6" t="e">
        <f>+#REF!</f>
        <v>#REF!</v>
      </c>
      <c r="I29" s="6" t="e">
        <f>+#REF!</f>
        <v>#REF!</v>
      </c>
      <c r="J29" s="6" t="e">
        <f>+#REF!</f>
        <v>#REF!</v>
      </c>
    </row>
    <row r="30" spans="1:10" ht="15" customHeight="1" x14ac:dyDescent="0.25">
      <c r="A30" s="10" t="e">
        <f>+#REF!</f>
        <v>#REF!</v>
      </c>
      <c r="B30" s="6" t="e">
        <f>+#REF!</f>
        <v>#REF!</v>
      </c>
      <c r="C30" s="6" t="e">
        <f>+#REF!</f>
        <v>#REF!</v>
      </c>
      <c r="D30" s="6" t="e">
        <f>+#REF!</f>
        <v>#REF!</v>
      </c>
      <c r="E30" s="6" t="e">
        <f>+#REF!</f>
        <v>#REF!</v>
      </c>
      <c r="F30" s="6" t="e">
        <f>+#REF!</f>
        <v>#REF!</v>
      </c>
      <c r="G30" s="6" t="e">
        <f>+#REF!</f>
        <v>#REF!</v>
      </c>
      <c r="H30" s="6" t="e">
        <f>+#REF!</f>
        <v>#REF!</v>
      </c>
      <c r="I30" s="6" t="e">
        <f>+#REF!</f>
        <v>#REF!</v>
      </c>
      <c r="J30" s="6" t="e">
        <f>+#REF!</f>
        <v>#REF!</v>
      </c>
    </row>
    <row r="31" spans="1:10" ht="15" customHeight="1" x14ac:dyDescent="0.25">
      <c r="A31" s="10" t="e">
        <f>+#REF!</f>
        <v>#REF!</v>
      </c>
      <c r="B31" s="6" t="e">
        <f>+#REF!</f>
        <v>#REF!</v>
      </c>
      <c r="C31" s="6" t="e">
        <f>+#REF!</f>
        <v>#REF!</v>
      </c>
      <c r="D31" s="6" t="e">
        <f>+#REF!</f>
        <v>#REF!</v>
      </c>
      <c r="E31" s="6" t="e">
        <f>+#REF!</f>
        <v>#REF!</v>
      </c>
      <c r="F31" s="6" t="e">
        <f>+#REF!</f>
        <v>#REF!</v>
      </c>
      <c r="G31" s="6" t="e">
        <f>+#REF!</f>
        <v>#REF!</v>
      </c>
      <c r="H31" s="6" t="e">
        <f>+#REF!</f>
        <v>#REF!</v>
      </c>
      <c r="I31" s="6" t="e">
        <f>+#REF!</f>
        <v>#REF!</v>
      </c>
      <c r="J31" s="6" t="e">
        <f>+#REF!</f>
        <v>#REF!</v>
      </c>
    </row>
    <row r="32" spans="1:10" ht="15" customHeight="1" x14ac:dyDescent="0.25">
      <c r="A32" s="10" t="e">
        <f>+#REF!</f>
        <v>#REF!</v>
      </c>
      <c r="B32" s="6" t="e">
        <f>+#REF!</f>
        <v>#REF!</v>
      </c>
      <c r="C32" s="6" t="e">
        <f>+#REF!</f>
        <v>#REF!</v>
      </c>
      <c r="D32" s="6" t="e">
        <f>+#REF!</f>
        <v>#REF!</v>
      </c>
      <c r="E32" s="6" t="e">
        <f>+#REF!</f>
        <v>#REF!</v>
      </c>
      <c r="F32" s="6" t="e">
        <f>+#REF!</f>
        <v>#REF!</v>
      </c>
      <c r="G32" s="6" t="e">
        <f>+#REF!</f>
        <v>#REF!</v>
      </c>
      <c r="H32" s="6" t="e">
        <f>+#REF!</f>
        <v>#REF!</v>
      </c>
      <c r="I32" s="6" t="e">
        <f>+#REF!</f>
        <v>#REF!</v>
      </c>
      <c r="J32" s="6" t="e">
        <f>+#REF!</f>
        <v>#REF!</v>
      </c>
    </row>
    <row r="33" spans="1:10" ht="15" customHeight="1" x14ac:dyDescent="0.25">
      <c r="A33" s="10" t="e">
        <f>+#REF!</f>
        <v>#REF!</v>
      </c>
      <c r="B33" s="6" t="e">
        <f>+#REF!</f>
        <v>#REF!</v>
      </c>
      <c r="C33" s="6" t="e">
        <f>+#REF!</f>
        <v>#REF!</v>
      </c>
      <c r="D33" s="6" t="e">
        <f>+#REF!</f>
        <v>#REF!</v>
      </c>
      <c r="E33" s="6" t="e">
        <f>+#REF!</f>
        <v>#REF!</v>
      </c>
      <c r="F33" s="6" t="e">
        <f>+#REF!</f>
        <v>#REF!</v>
      </c>
      <c r="G33" s="6" t="e">
        <f>+#REF!</f>
        <v>#REF!</v>
      </c>
      <c r="H33" s="6" t="e">
        <f>+#REF!</f>
        <v>#REF!</v>
      </c>
      <c r="I33" s="6" t="e">
        <f>+#REF!</f>
        <v>#REF!</v>
      </c>
      <c r="J33" s="6" t="e">
        <f>+#REF!</f>
        <v>#REF!</v>
      </c>
    </row>
    <row r="34" spans="1:10" ht="15" customHeight="1" x14ac:dyDescent="0.25">
      <c r="A34" s="10" t="e">
        <f>+#REF!</f>
        <v>#REF!</v>
      </c>
      <c r="B34" s="6" t="e">
        <f>+#REF!</f>
        <v>#REF!</v>
      </c>
      <c r="C34" s="6" t="e">
        <f>+#REF!</f>
        <v>#REF!</v>
      </c>
      <c r="D34" s="6" t="e">
        <f>+#REF!</f>
        <v>#REF!</v>
      </c>
      <c r="E34" s="6" t="e">
        <f>+#REF!</f>
        <v>#REF!</v>
      </c>
      <c r="F34" s="6" t="e">
        <f>+#REF!</f>
        <v>#REF!</v>
      </c>
      <c r="G34" s="6" t="e">
        <f>+#REF!</f>
        <v>#REF!</v>
      </c>
      <c r="H34" s="6" t="e">
        <f>+#REF!</f>
        <v>#REF!</v>
      </c>
      <c r="I34" s="6" t="e">
        <f>+#REF!</f>
        <v>#REF!</v>
      </c>
      <c r="J34" s="6" t="e">
        <f>+#REF!</f>
        <v>#REF!</v>
      </c>
    </row>
    <row r="35" spans="1:10" ht="15" customHeight="1" x14ac:dyDescent="0.25">
      <c r="A35" s="10" t="e">
        <f>+#REF!</f>
        <v>#REF!</v>
      </c>
      <c r="B35" s="6" t="e">
        <f>+#REF!</f>
        <v>#REF!</v>
      </c>
      <c r="C35" s="6" t="e">
        <f>+#REF!</f>
        <v>#REF!</v>
      </c>
      <c r="D35" s="6" t="e">
        <f>+#REF!</f>
        <v>#REF!</v>
      </c>
      <c r="E35" s="6" t="e">
        <f>+#REF!</f>
        <v>#REF!</v>
      </c>
      <c r="F35" s="6" t="e">
        <f>+#REF!</f>
        <v>#REF!</v>
      </c>
      <c r="G35" s="6" t="e">
        <f>+#REF!</f>
        <v>#REF!</v>
      </c>
      <c r="H35" s="6" t="e">
        <f>+#REF!</f>
        <v>#REF!</v>
      </c>
      <c r="I35" s="6" t="e">
        <f>+#REF!</f>
        <v>#REF!</v>
      </c>
      <c r="J35" s="6" t="e">
        <f>+#REF!</f>
        <v>#REF!</v>
      </c>
    </row>
    <row r="36" spans="1:10" ht="15" customHeight="1" x14ac:dyDescent="0.25">
      <c r="A36" s="10" t="e">
        <f>+#REF!</f>
        <v>#REF!</v>
      </c>
      <c r="B36" s="6" t="e">
        <f>+#REF!</f>
        <v>#REF!</v>
      </c>
      <c r="C36" s="6" t="e">
        <f>+#REF!</f>
        <v>#REF!</v>
      </c>
      <c r="D36" s="6" t="e">
        <f>+#REF!</f>
        <v>#REF!</v>
      </c>
      <c r="E36" s="6" t="e">
        <f>+#REF!</f>
        <v>#REF!</v>
      </c>
      <c r="F36" s="6" t="e">
        <f>+#REF!</f>
        <v>#REF!</v>
      </c>
      <c r="G36" s="6" t="e">
        <f>+#REF!</f>
        <v>#REF!</v>
      </c>
      <c r="H36" s="6" t="e">
        <f>+#REF!</f>
        <v>#REF!</v>
      </c>
      <c r="I36" s="6" t="e">
        <f>+#REF!</f>
        <v>#REF!</v>
      </c>
      <c r="J36" s="6" t="e">
        <f>+#REF!</f>
        <v>#REF!</v>
      </c>
    </row>
    <row r="37" spans="1:10" ht="15" customHeight="1" x14ac:dyDescent="0.25">
      <c r="A37" s="10" t="e">
        <f>+#REF!</f>
        <v>#REF!</v>
      </c>
      <c r="B37" s="6" t="e">
        <f>+#REF!</f>
        <v>#REF!</v>
      </c>
      <c r="C37" s="6" t="e">
        <f>+#REF!</f>
        <v>#REF!</v>
      </c>
      <c r="D37" s="6" t="e">
        <f>+#REF!</f>
        <v>#REF!</v>
      </c>
      <c r="E37" s="6" t="e">
        <f>+#REF!</f>
        <v>#REF!</v>
      </c>
      <c r="F37" s="6" t="e">
        <f>+#REF!</f>
        <v>#REF!</v>
      </c>
      <c r="G37" s="6" t="e">
        <f>+#REF!</f>
        <v>#REF!</v>
      </c>
      <c r="H37" s="6" t="e">
        <f>+#REF!</f>
        <v>#REF!</v>
      </c>
      <c r="I37" s="6" t="e">
        <f>+#REF!</f>
        <v>#REF!</v>
      </c>
      <c r="J37" s="6" t="e">
        <f>+#REF!</f>
        <v>#REF!</v>
      </c>
    </row>
    <row r="38" spans="1:10" ht="15" customHeight="1" x14ac:dyDescent="0.25">
      <c r="A38" s="10" t="e">
        <f>+#REF!</f>
        <v>#REF!</v>
      </c>
      <c r="B38" s="6" t="e">
        <f>+#REF!</f>
        <v>#REF!</v>
      </c>
      <c r="C38" s="6" t="e">
        <f>+#REF!</f>
        <v>#REF!</v>
      </c>
      <c r="D38" s="6" t="e">
        <f>+#REF!</f>
        <v>#REF!</v>
      </c>
      <c r="E38" s="6" t="e">
        <f>+#REF!</f>
        <v>#REF!</v>
      </c>
      <c r="F38" s="6" t="e">
        <f>+#REF!</f>
        <v>#REF!</v>
      </c>
      <c r="G38" s="6" t="e">
        <f>+#REF!</f>
        <v>#REF!</v>
      </c>
      <c r="H38" s="6" t="e">
        <f>+#REF!</f>
        <v>#REF!</v>
      </c>
      <c r="I38" s="6" t="e">
        <f>+#REF!</f>
        <v>#REF!</v>
      </c>
      <c r="J38" s="6" t="e">
        <f>+#REF!</f>
        <v>#REF!</v>
      </c>
    </row>
    <row r="39" spans="1:10" ht="15" customHeight="1" x14ac:dyDescent="0.25">
      <c r="A39" s="10" t="e">
        <f>+#REF!</f>
        <v>#REF!</v>
      </c>
      <c r="B39" s="6" t="e">
        <f>+#REF!</f>
        <v>#REF!</v>
      </c>
      <c r="C39" s="6" t="e">
        <f>+#REF!</f>
        <v>#REF!</v>
      </c>
      <c r="D39" s="6" t="e">
        <f>+#REF!</f>
        <v>#REF!</v>
      </c>
      <c r="E39" s="6" t="e">
        <f>+#REF!</f>
        <v>#REF!</v>
      </c>
      <c r="F39" s="6" t="e">
        <f>+#REF!</f>
        <v>#REF!</v>
      </c>
      <c r="G39" s="6" t="e">
        <f>+#REF!</f>
        <v>#REF!</v>
      </c>
      <c r="H39" s="6" t="e">
        <f>+#REF!</f>
        <v>#REF!</v>
      </c>
      <c r="I39" s="6" t="e">
        <f>+#REF!</f>
        <v>#REF!</v>
      </c>
      <c r="J39" s="6" t="e">
        <f>+#REF!</f>
        <v>#REF!</v>
      </c>
    </row>
    <row r="40" spans="1:10" ht="15" customHeight="1" x14ac:dyDescent="0.25">
      <c r="A40" s="10" t="e">
        <f>+#REF!</f>
        <v>#REF!</v>
      </c>
      <c r="B40" s="6" t="e">
        <f>+#REF!</f>
        <v>#REF!</v>
      </c>
      <c r="C40" s="6" t="e">
        <f>+#REF!</f>
        <v>#REF!</v>
      </c>
      <c r="D40" s="6" t="e">
        <f>+#REF!</f>
        <v>#REF!</v>
      </c>
      <c r="E40" s="6" t="e">
        <f>+#REF!</f>
        <v>#REF!</v>
      </c>
      <c r="F40" s="6" t="e">
        <f>+#REF!</f>
        <v>#REF!</v>
      </c>
      <c r="G40" s="6" t="e">
        <f>+#REF!</f>
        <v>#REF!</v>
      </c>
      <c r="H40" s="6" t="e">
        <f>+#REF!</f>
        <v>#REF!</v>
      </c>
      <c r="I40" s="6" t="e">
        <f>+#REF!</f>
        <v>#REF!</v>
      </c>
      <c r="J40" s="6" t="e">
        <f>+#REF!</f>
        <v>#REF!</v>
      </c>
    </row>
    <row r="41" spans="1:10" ht="15" customHeight="1" x14ac:dyDescent="0.25">
      <c r="A41" s="10" t="e">
        <f>+#REF!</f>
        <v>#REF!</v>
      </c>
      <c r="B41" s="6" t="e">
        <f>+#REF!</f>
        <v>#REF!</v>
      </c>
      <c r="C41" s="6" t="e">
        <f>+#REF!</f>
        <v>#REF!</v>
      </c>
      <c r="D41" s="6" t="e">
        <f>+#REF!</f>
        <v>#REF!</v>
      </c>
      <c r="E41" s="6" t="e">
        <f>+#REF!</f>
        <v>#REF!</v>
      </c>
      <c r="F41" s="6" t="e">
        <f>+#REF!</f>
        <v>#REF!</v>
      </c>
      <c r="G41" s="6" t="e">
        <f>+#REF!</f>
        <v>#REF!</v>
      </c>
      <c r="H41" s="6" t="e">
        <f>+#REF!</f>
        <v>#REF!</v>
      </c>
      <c r="I41" s="6" t="e">
        <f>+#REF!</f>
        <v>#REF!</v>
      </c>
      <c r="J41" s="6" t="e">
        <f>+#REF!</f>
        <v>#REF!</v>
      </c>
    </row>
    <row r="42" spans="1:10" ht="15" customHeight="1" x14ac:dyDescent="0.25">
      <c r="A42" s="10" t="e">
        <f>+#REF!</f>
        <v>#REF!</v>
      </c>
      <c r="B42" s="6" t="e">
        <f>+#REF!</f>
        <v>#REF!</v>
      </c>
      <c r="C42" s="6" t="e">
        <f>+#REF!</f>
        <v>#REF!</v>
      </c>
      <c r="D42" s="6" t="e">
        <f>+#REF!</f>
        <v>#REF!</v>
      </c>
      <c r="E42" s="6" t="e">
        <f>+#REF!</f>
        <v>#REF!</v>
      </c>
      <c r="F42" s="6" t="e">
        <f>+#REF!</f>
        <v>#REF!</v>
      </c>
      <c r="G42" s="6" t="e">
        <f>+#REF!</f>
        <v>#REF!</v>
      </c>
      <c r="H42" s="6" t="e">
        <f>+#REF!</f>
        <v>#REF!</v>
      </c>
      <c r="I42" s="6" t="e">
        <f>+#REF!</f>
        <v>#REF!</v>
      </c>
      <c r="J42" s="6" t="e">
        <f>+#REF!</f>
        <v>#REF!</v>
      </c>
    </row>
    <row r="43" spans="1:10" ht="15" customHeight="1" x14ac:dyDescent="0.25">
      <c r="A43" s="10" t="e">
        <f>+#REF!</f>
        <v>#REF!</v>
      </c>
      <c r="B43" s="6" t="e">
        <f>+#REF!</f>
        <v>#REF!</v>
      </c>
      <c r="C43" s="6" t="e">
        <f>+#REF!</f>
        <v>#REF!</v>
      </c>
      <c r="D43" s="6" t="e">
        <f>+#REF!</f>
        <v>#REF!</v>
      </c>
      <c r="E43" s="6" t="e">
        <f>+#REF!</f>
        <v>#REF!</v>
      </c>
      <c r="F43" s="6" t="e">
        <f>+#REF!</f>
        <v>#REF!</v>
      </c>
      <c r="G43" s="6" t="e">
        <f>+#REF!</f>
        <v>#REF!</v>
      </c>
      <c r="H43" s="6" t="e">
        <f>+#REF!</f>
        <v>#REF!</v>
      </c>
      <c r="I43" s="6" t="e">
        <f>+#REF!</f>
        <v>#REF!</v>
      </c>
      <c r="J43" s="6" t="e">
        <f>+#REF!</f>
        <v>#REF!</v>
      </c>
    </row>
    <row r="44" spans="1:10" ht="15" customHeight="1" x14ac:dyDescent="0.25">
      <c r="A44" s="10" t="e">
        <f>+#REF!</f>
        <v>#REF!</v>
      </c>
      <c r="B44" s="6" t="e">
        <f>+#REF!</f>
        <v>#REF!</v>
      </c>
      <c r="C44" s="6" t="e">
        <f>+#REF!</f>
        <v>#REF!</v>
      </c>
      <c r="D44" s="6" t="e">
        <f>+#REF!</f>
        <v>#REF!</v>
      </c>
      <c r="E44" s="6" t="e">
        <f>+#REF!</f>
        <v>#REF!</v>
      </c>
      <c r="F44" s="6" t="e">
        <f>+#REF!</f>
        <v>#REF!</v>
      </c>
      <c r="G44" s="6" t="e">
        <f>+#REF!</f>
        <v>#REF!</v>
      </c>
      <c r="H44" s="6" t="e">
        <f>+#REF!</f>
        <v>#REF!</v>
      </c>
      <c r="I44" s="6" t="e">
        <f>+#REF!</f>
        <v>#REF!</v>
      </c>
      <c r="J44" s="6" t="e">
        <f>+#REF!</f>
        <v>#REF!</v>
      </c>
    </row>
    <row r="45" spans="1:10" ht="15" customHeight="1" x14ac:dyDescent="0.25">
      <c r="A45" s="10" t="e">
        <f>+#REF!</f>
        <v>#REF!</v>
      </c>
      <c r="B45" s="6" t="e">
        <f>+#REF!</f>
        <v>#REF!</v>
      </c>
      <c r="C45" s="6" t="e">
        <f>+#REF!</f>
        <v>#REF!</v>
      </c>
      <c r="D45" s="6" t="e">
        <f>+#REF!</f>
        <v>#REF!</v>
      </c>
      <c r="E45" s="6" t="e">
        <f>+#REF!</f>
        <v>#REF!</v>
      </c>
      <c r="F45" s="6" t="e">
        <f>+#REF!</f>
        <v>#REF!</v>
      </c>
      <c r="G45" s="6" t="e">
        <f>+#REF!</f>
        <v>#REF!</v>
      </c>
      <c r="H45" s="6" t="e">
        <f>+#REF!</f>
        <v>#REF!</v>
      </c>
      <c r="I45" s="6" t="e">
        <f>+#REF!</f>
        <v>#REF!</v>
      </c>
      <c r="J45" s="6" t="e">
        <f>+#REF!</f>
        <v>#REF!</v>
      </c>
    </row>
    <row r="46" spans="1:10" ht="15" customHeight="1" x14ac:dyDescent="0.25">
      <c r="A46" s="10" t="e">
        <f>+#REF!</f>
        <v>#REF!</v>
      </c>
      <c r="B46" s="6" t="e">
        <f>+#REF!</f>
        <v>#REF!</v>
      </c>
      <c r="C46" s="6" t="e">
        <f>+#REF!</f>
        <v>#REF!</v>
      </c>
      <c r="D46" s="6" t="e">
        <f>+#REF!</f>
        <v>#REF!</v>
      </c>
      <c r="E46" s="6" t="e">
        <f>+#REF!</f>
        <v>#REF!</v>
      </c>
      <c r="F46" s="6" t="e">
        <f>+#REF!</f>
        <v>#REF!</v>
      </c>
      <c r="G46" s="6" t="e">
        <f>+#REF!</f>
        <v>#REF!</v>
      </c>
      <c r="H46" s="6" t="e">
        <f>+#REF!</f>
        <v>#REF!</v>
      </c>
      <c r="I46" s="6" t="e">
        <f>+#REF!</f>
        <v>#REF!</v>
      </c>
      <c r="J46" s="6" t="e">
        <f>+#REF!</f>
        <v>#REF!</v>
      </c>
    </row>
    <row r="47" spans="1:10" ht="15" customHeight="1" x14ac:dyDescent="0.25">
      <c r="A47" s="10" t="e">
        <f>+#REF!</f>
        <v>#REF!</v>
      </c>
      <c r="B47" s="6" t="e">
        <f>+#REF!</f>
        <v>#REF!</v>
      </c>
      <c r="C47" s="6" t="e">
        <f>+#REF!</f>
        <v>#REF!</v>
      </c>
      <c r="D47" s="6" t="e">
        <f>+#REF!</f>
        <v>#REF!</v>
      </c>
      <c r="E47" s="6" t="e">
        <f>+#REF!</f>
        <v>#REF!</v>
      </c>
      <c r="F47" s="6" t="e">
        <f>+#REF!</f>
        <v>#REF!</v>
      </c>
      <c r="G47" s="6" t="e">
        <f>+#REF!</f>
        <v>#REF!</v>
      </c>
      <c r="H47" s="6" t="e">
        <f>+#REF!</f>
        <v>#REF!</v>
      </c>
      <c r="I47" s="6" t="e">
        <f>+#REF!</f>
        <v>#REF!</v>
      </c>
      <c r="J47" s="6" t="e">
        <f>+#REF!</f>
        <v>#REF!</v>
      </c>
    </row>
    <row r="48" spans="1:10" ht="15" customHeight="1" x14ac:dyDescent="0.25">
      <c r="A48" s="10" t="e">
        <f>+#REF!</f>
        <v>#REF!</v>
      </c>
      <c r="B48" s="6" t="e">
        <f>+#REF!</f>
        <v>#REF!</v>
      </c>
      <c r="C48" s="6" t="e">
        <f>+#REF!</f>
        <v>#REF!</v>
      </c>
      <c r="D48" s="6" t="e">
        <f>+#REF!</f>
        <v>#REF!</v>
      </c>
      <c r="E48" s="6" t="e">
        <f>+#REF!</f>
        <v>#REF!</v>
      </c>
      <c r="F48" s="6" t="e">
        <f>+#REF!</f>
        <v>#REF!</v>
      </c>
      <c r="G48" s="6" t="e">
        <f>+#REF!</f>
        <v>#REF!</v>
      </c>
      <c r="H48" s="6" t="e">
        <f>+#REF!</f>
        <v>#REF!</v>
      </c>
      <c r="I48" s="6" t="e">
        <f>+#REF!</f>
        <v>#REF!</v>
      </c>
      <c r="J48" s="6" t="e">
        <f>+#REF!</f>
        <v>#REF!</v>
      </c>
    </row>
    <row r="49" spans="1:10" ht="15" customHeight="1" x14ac:dyDescent="0.25">
      <c r="A49" s="10" t="e">
        <f>+#REF!</f>
        <v>#REF!</v>
      </c>
      <c r="B49" s="6" t="e">
        <f>+#REF!</f>
        <v>#REF!</v>
      </c>
      <c r="C49" s="6" t="e">
        <f>+#REF!</f>
        <v>#REF!</v>
      </c>
      <c r="D49" s="6" t="e">
        <f>+#REF!</f>
        <v>#REF!</v>
      </c>
      <c r="E49" s="6" t="e">
        <f>+#REF!</f>
        <v>#REF!</v>
      </c>
      <c r="F49" s="6" t="e">
        <f>+#REF!</f>
        <v>#REF!</v>
      </c>
      <c r="G49" s="6" t="e">
        <f>+#REF!</f>
        <v>#REF!</v>
      </c>
      <c r="H49" s="6" t="e">
        <f>+#REF!</f>
        <v>#REF!</v>
      </c>
      <c r="I49" s="6" t="e">
        <f>+#REF!</f>
        <v>#REF!</v>
      </c>
      <c r="J49" s="6" t="e">
        <f>+#REF!</f>
        <v>#REF!</v>
      </c>
    </row>
    <row r="50" spans="1:10" ht="15" customHeight="1" x14ac:dyDescent="0.25">
      <c r="A50" s="10" t="e">
        <f>+#REF!</f>
        <v>#REF!</v>
      </c>
      <c r="B50" s="6" t="e">
        <f>+#REF!</f>
        <v>#REF!</v>
      </c>
      <c r="C50" s="6" t="e">
        <f>+#REF!</f>
        <v>#REF!</v>
      </c>
      <c r="D50" s="6" t="e">
        <f>+#REF!</f>
        <v>#REF!</v>
      </c>
      <c r="E50" s="6" t="e">
        <f>+#REF!</f>
        <v>#REF!</v>
      </c>
      <c r="F50" s="6" t="e">
        <f>+#REF!</f>
        <v>#REF!</v>
      </c>
      <c r="G50" s="6" t="e">
        <f>+#REF!</f>
        <v>#REF!</v>
      </c>
      <c r="H50" s="6" t="e">
        <f>+#REF!</f>
        <v>#REF!</v>
      </c>
      <c r="I50" s="6" t="e">
        <f>+#REF!</f>
        <v>#REF!</v>
      </c>
      <c r="J50" s="6" t="e">
        <f>+#REF!</f>
        <v>#REF!</v>
      </c>
    </row>
    <row r="51" spans="1:10" ht="15" customHeight="1" x14ac:dyDescent="0.25">
      <c r="A51" s="10" t="e">
        <f>+#REF!</f>
        <v>#REF!</v>
      </c>
      <c r="B51" s="6" t="e">
        <f>+#REF!</f>
        <v>#REF!</v>
      </c>
      <c r="C51" s="6" t="e">
        <f>+#REF!</f>
        <v>#REF!</v>
      </c>
      <c r="D51" s="6" t="e">
        <f>+#REF!</f>
        <v>#REF!</v>
      </c>
      <c r="E51" s="6" t="e">
        <f>+#REF!</f>
        <v>#REF!</v>
      </c>
      <c r="F51" s="6" t="e">
        <f>+#REF!</f>
        <v>#REF!</v>
      </c>
      <c r="G51" s="6" t="e">
        <f>+#REF!</f>
        <v>#REF!</v>
      </c>
      <c r="H51" s="6" t="e">
        <f>+#REF!</f>
        <v>#REF!</v>
      </c>
      <c r="I51" s="6" t="e">
        <f>+#REF!</f>
        <v>#REF!</v>
      </c>
      <c r="J51" s="6" t="e">
        <f>+#REF!</f>
        <v>#REF!</v>
      </c>
    </row>
    <row r="52" spans="1:10" ht="15" customHeight="1" x14ac:dyDescent="0.25">
      <c r="A52" s="10" t="e">
        <f>+#REF!</f>
        <v>#REF!</v>
      </c>
      <c r="B52" s="6" t="e">
        <f>+#REF!</f>
        <v>#REF!</v>
      </c>
      <c r="C52" s="6" t="e">
        <f>+#REF!</f>
        <v>#REF!</v>
      </c>
      <c r="D52" s="6" t="e">
        <f>+#REF!</f>
        <v>#REF!</v>
      </c>
      <c r="E52" s="6" t="e">
        <f>+#REF!</f>
        <v>#REF!</v>
      </c>
      <c r="F52" s="6" t="e">
        <f>+#REF!</f>
        <v>#REF!</v>
      </c>
      <c r="G52" s="6" t="e">
        <f>+#REF!</f>
        <v>#REF!</v>
      </c>
      <c r="H52" s="6" t="e">
        <f>+#REF!</f>
        <v>#REF!</v>
      </c>
      <c r="I52" s="6" t="e">
        <f>+#REF!</f>
        <v>#REF!</v>
      </c>
      <c r="J52" s="6" t="e">
        <f>+#REF!</f>
        <v>#REF!</v>
      </c>
    </row>
    <row r="53" spans="1:10" ht="15" customHeight="1" x14ac:dyDescent="0.25">
      <c r="A53" s="10" t="e">
        <f>+#REF!</f>
        <v>#REF!</v>
      </c>
      <c r="B53" s="6" t="e">
        <f>+#REF!</f>
        <v>#REF!</v>
      </c>
      <c r="C53" s="6" t="e">
        <f>+#REF!</f>
        <v>#REF!</v>
      </c>
      <c r="D53" s="6" t="e">
        <f>+#REF!</f>
        <v>#REF!</v>
      </c>
      <c r="E53" s="6" t="e">
        <f>+#REF!</f>
        <v>#REF!</v>
      </c>
      <c r="F53" s="6" t="e">
        <f>+#REF!</f>
        <v>#REF!</v>
      </c>
      <c r="G53" s="6" t="e">
        <f>+#REF!</f>
        <v>#REF!</v>
      </c>
      <c r="H53" s="6" t="e">
        <f>+#REF!</f>
        <v>#REF!</v>
      </c>
      <c r="I53" s="6" t="e">
        <f>+#REF!</f>
        <v>#REF!</v>
      </c>
      <c r="J53" s="6" t="e">
        <f>+#REF!</f>
        <v>#REF!</v>
      </c>
    </row>
    <row r="54" spans="1:10" ht="15" customHeight="1" x14ac:dyDescent="0.25">
      <c r="A54" s="10" t="e">
        <f>+#REF!</f>
        <v>#REF!</v>
      </c>
      <c r="B54" s="6" t="e">
        <f>+#REF!</f>
        <v>#REF!</v>
      </c>
      <c r="C54" s="6" t="e">
        <f>+#REF!</f>
        <v>#REF!</v>
      </c>
      <c r="D54" s="6" t="e">
        <f>+#REF!</f>
        <v>#REF!</v>
      </c>
      <c r="E54" s="6" t="e">
        <f>+#REF!</f>
        <v>#REF!</v>
      </c>
      <c r="F54" s="6" t="e">
        <f>+#REF!</f>
        <v>#REF!</v>
      </c>
      <c r="G54" s="6" t="e">
        <f>+#REF!</f>
        <v>#REF!</v>
      </c>
      <c r="H54" s="6" t="e">
        <f>+#REF!</f>
        <v>#REF!</v>
      </c>
      <c r="I54" s="6" t="e">
        <f>+#REF!</f>
        <v>#REF!</v>
      </c>
      <c r="J54" s="6" t="e">
        <f>+#REF!</f>
        <v>#REF!</v>
      </c>
    </row>
    <row r="55" spans="1:10" ht="15" customHeight="1" x14ac:dyDescent="0.25">
      <c r="A55" s="10" t="e">
        <f>+#REF!</f>
        <v>#REF!</v>
      </c>
      <c r="B55" s="6" t="e">
        <f>+#REF!</f>
        <v>#REF!</v>
      </c>
      <c r="C55" s="6" t="e">
        <f>+#REF!</f>
        <v>#REF!</v>
      </c>
      <c r="D55" s="6" t="e">
        <f>+#REF!</f>
        <v>#REF!</v>
      </c>
      <c r="E55" s="6" t="e">
        <f>+#REF!</f>
        <v>#REF!</v>
      </c>
      <c r="F55" s="6" t="e">
        <f>+#REF!</f>
        <v>#REF!</v>
      </c>
      <c r="G55" s="6" t="e">
        <f>+#REF!</f>
        <v>#REF!</v>
      </c>
      <c r="H55" s="6" t="e">
        <f>+#REF!</f>
        <v>#REF!</v>
      </c>
      <c r="I55" s="6" t="e">
        <f>+#REF!</f>
        <v>#REF!</v>
      </c>
      <c r="J55" s="6" t="e">
        <f>+#REF!</f>
        <v>#REF!</v>
      </c>
    </row>
    <row r="56" spans="1:10" ht="15" customHeight="1" x14ac:dyDescent="0.25">
      <c r="A56" s="10" t="e">
        <f>+#REF!</f>
        <v>#REF!</v>
      </c>
      <c r="B56" s="6" t="e">
        <f>+#REF!</f>
        <v>#REF!</v>
      </c>
      <c r="C56" s="6" t="e">
        <f>+#REF!</f>
        <v>#REF!</v>
      </c>
      <c r="D56" s="6" t="e">
        <f>+#REF!</f>
        <v>#REF!</v>
      </c>
      <c r="E56" s="6" t="e">
        <f>+#REF!</f>
        <v>#REF!</v>
      </c>
      <c r="F56" s="6" t="e">
        <f>+#REF!</f>
        <v>#REF!</v>
      </c>
      <c r="G56" s="6" t="e">
        <f>+#REF!</f>
        <v>#REF!</v>
      </c>
      <c r="H56" s="6" t="e">
        <f>+#REF!</f>
        <v>#REF!</v>
      </c>
      <c r="I56" s="6" t="e">
        <f>+#REF!</f>
        <v>#REF!</v>
      </c>
      <c r="J56" s="6" t="e">
        <f>+#REF!</f>
        <v>#REF!</v>
      </c>
    </row>
    <row r="57" spans="1:10" ht="15" customHeight="1" x14ac:dyDescent="0.25">
      <c r="A57" s="10" t="e">
        <f>+#REF!</f>
        <v>#REF!</v>
      </c>
      <c r="B57" s="6" t="e">
        <f>+#REF!</f>
        <v>#REF!</v>
      </c>
      <c r="C57" s="6" t="e">
        <f>+#REF!</f>
        <v>#REF!</v>
      </c>
      <c r="D57" s="6" t="e">
        <f>+#REF!</f>
        <v>#REF!</v>
      </c>
      <c r="E57" s="6" t="e">
        <f>+#REF!</f>
        <v>#REF!</v>
      </c>
      <c r="F57" s="6" t="e">
        <f>+#REF!</f>
        <v>#REF!</v>
      </c>
      <c r="G57" s="6" t="e">
        <f>+#REF!</f>
        <v>#REF!</v>
      </c>
      <c r="H57" s="6" t="e">
        <f>+#REF!</f>
        <v>#REF!</v>
      </c>
      <c r="I57" s="6" t="e">
        <f>+#REF!</f>
        <v>#REF!</v>
      </c>
      <c r="J57" s="6" t="e">
        <f>+#REF!</f>
        <v>#REF!</v>
      </c>
    </row>
    <row r="58" spans="1:10" ht="15" customHeight="1" x14ac:dyDescent="0.25">
      <c r="A58" s="10" t="e">
        <f>+#REF!</f>
        <v>#REF!</v>
      </c>
      <c r="B58" s="6" t="e">
        <f>+#REF!</f>
        <v>#REF!</v>
      </c>
      <c r="C58" s="6" t="e">
        <f>+#REF!</f>
        <v>#REF!</v>
      </c>
      <c r="D58" s="6" t="e">
        <f>+#REF!</f>
        <v>#REF!</v>
      </c>
      <c r="E58" s="6" t="e">
        <f>+#REF!</f>
        <v>#REF!</v>
      </c>
      <c r="F58" s="6" t="e">
        <f>+#REF!</f>
        <v>#REF!</v>
      </c>
      <c r="G58" s="6" t="e">
        <f>+#REF!</f>
        <v>#REF!</v>
      </c>
      <c r="H58" s="6" t="e">
        <f>+#REF!</f>
        <v>#REF!</v>
      </c>
      <c r="I58" s="6" t="e">
        <f>+#REF!</f>
        <v>#REF!</v>
      </c>
      <c r="J58" s="6" t="e">
        <f>+#REF!</f>
        <v>#REF!</v>
      </c>
    </row>
    <row r="59" spans="1:10" ht="15" customHeight="1" x14ac:dyDescent="0.25">
      <c r="A59" s="10" t="e">
        <f>+#REF!</f>
        <v>#REF!</v>
      </c>
      <c r="B59" s="6" t="e">
        <f>+#REF!</f>
        <v>#REF!</v>
      </c>
      <c r="C59" s="6" t="e">
        <f>+#REF!</f>
        <v>#REF!</v>
      </c>
      <c r="D59" s="6" t="e">
        <f>+#REF!</f>
        <v>#REF!</v>
      </c>
      <c r="E59" s="6" t="e">
        <f>+#REF!</f>
        <v>#REF!</v>
      </c>
      <c r="F59" s="6" t="e">
        <f>+#REF!</f>
        <v>#REF!</v>
      </c>
      <c r="G59" s="6" t="e">
        <f>+#REF!</f>
        <v>#REF!</v>
      </c>
      <c r="H59" s="6" t="e">
        <f>+#REF!</f>
        <v>#REF!</v>
      </c>
      <c r="I59" s="6" t="e">
        <f>+#REF!</f>
        <v>#REF!</v>
      </c>
      <c r="J59" s="6" t="e">
        <f>+#REF!</f>
        <v>#REF!</v>
      </c>
    </row>
    <row r="60" spans="1:10" ht="15" customHeight="1" x14ac:dyDescent="0.25">
      <c r="A60" s="10" t="e">
        <f>+#REF!</f>
        <v>#REF!</v>
      </c>
      <c r="B60" s="6" t="e">
        <f>+#REF!</f>
        <v>#REF!</v>
      </c>
      <c r="C60" s="6" t="e">
        <f>+#REF!</f>
        <v>#REF!</v>
      </c>
      <c r="D60" s="6" t="e">
        <f>+#REF!</f>
        <v>#REF!</v>
      </c>
      <c r="E60" s="6" t="e">
        <f>+#REF!</f>
        <v>#REF!</v>
      </c>
      <c r="F60" s="6" t="e">
        <f>+#REF!</f>
        <v>#REF!</v>
      </c>
      <c r="G60" s="6" t="e">
        <f>+#REF!</f>
        <v>#REF!</v>
      </c>
      <c r="H60" s="6" t="e">
        <f>+#REF!</f>
        <v>#REF!</v>
      </c>
      <c r="I60" s="6" t="e">
        <f>+#REF!</f>
        <v>#REF!</v>
      </c>
      <c r="J60" s="6" t="e">
        <f>+#REF!</f>
        <v>#REF!</v>
      </c>
    </row>
    <row r="61" spans="1:10" ht="15" customHeight="1" x14ac:dyDescent="0.25">
      <c r="A61" s="10" t="e">
        <f>+#REF!</f>
        <v>#REF!</v>
      </c>
      <c r="B61" s="6" t="e">
        <f>+#REF!</f>
        <v>#REF!</v>
      </c>
      <c r="C61" s="6" t="e">
        <f>+#REF!</f>
        <v>#REF!</v>
      </c>
      <c r="D61" s="6" t="e">
        <f>+#REF!</f>
        <v>#REF!</v>
      </c>
      <c r="E61" s="6" t="e">
        <f>+#REF!</f>
        <v>#REF!</v>
      </c>
      <c r="F61" s="6" t="e">
        <f>+#REF!</f>
        <v>#REF!</v>
      </c>
      <c r="G61" s="6" t="e">
        <f>+#REF!</f>
        <v>#REF!</v>
      </c>
      <c r="H61" s="6" t="e">
        <f>+#REF!</f>
        <v>#REF!</v>
      </c>
      <c r="I61" s="6" t="e">
        <f>+#REF!</f>
        <v>#REF!</v>
      </c>
      <c r="J61" s="6" t="e">
        <f>+#REF!</f>
        <v>#REF!</v>
      </c>
    </row>
    <row r="62" spans="1:10" ht="15" customHeight="1" x14ac:dyDescent="0.25">
      <c r="A62" s="10" t="e">
        <f>+#REF!</f>
        <v>#REF!</v>
      </c>
      <c r="B62" s="6" t="e">
        <f>+#REF!</f>
        <v>#REF!</v>
      </c>
      <c r="C62" s="6" t="e">
        <f>+#REF!</f>
        <v>#REF!</v>
      </c>
      <c r="D62" s="6" t="e">
        <f>+#REF!</f>
        <v>#REF!</v>
      </c>
      <c r="E62" s="6" t="e">
        <f>+#REF!</f>
        <v>#REF!</v>
      </c>
      <c r="F62" s="6" t="e">
        <f>+#REF!</f>
        <v>#REF!</v>
      </c>
      <c r="G62" s="6" t="e">
        <f>+#REF!</f>
        <v>#REF!</v>
      </c>
      <c r="H62" s="6" t="e">
        <f>+#REF!</f>
        <v>#REF!</v>
      </c>
      <c r="I62" s="6" t="e">
        <f>+#REF!</f>
        <v>#REF!</v>
      </c>
      <c r="J62" s="6" t="e">
        <f>+#REF!</f>
        <v>#REF!</v>
      </c>
    </row>
    <row r="63" spans="1:10" ht="15" customHeight="1" x14ac:dyDescent="0.25">
      <c r="A63" s="10" t="e">
        <f>+#REF!</f>
        <v>#REF!</v>
      </c>
      <c r="B63" s="6" t="e">
        <f>+#REF!</f>
        <v>#REF!</v>
      </c>
      <c r="C63" s="6" t="e">
        <f>+#REF!</f>
        <v>#REF!</v>
      </c>
      <c r="D63" s="6" t="e">
        <f>+#REF!</f>
        <v>#REF!</v>
      </c>
      <c r="E63" s="6" t="e">
        <f>+#REF!</f>
        <v>#REF!</v>
      </c>
      <c r="F63" s="6" t="e">
        <f>+#REF!</f>
        <v>#REF!</v>
      </c>
      <c r="G63" s="6" t="e">
        <f>+#REF!</f>
        <v>#REF!</v>
      </c>
      <c r="H63" s="6" t="e">
        <f>+#REF!</f>
        <v>#REF!</v>
      </c>
      <c r="I63" s="6" t="e">
        <f>+#REF!</f>
        <v>#REF!</v>
      </c>
      <c r="J63" s="6" t="e">
        <f>+#REF!</f>
        <v>#REF!</v>
      </c>
    </row>
    <row r="64" spans="1:10" ht="15" customHeight="1" x14ac:dyDescent="0.25">
      <c r="A64" s="10" t="e">
        <f>+#REF!</f>
        <v>#REF!</v>
      </c>
      <c r="B64" s="6" t="e">
        <f>+#REF!</f>
        <v>#REF!</v>
      </c>
      <c r="C64" s="6" t="e">
        <f>+#REF!</f>
        <v>#REF!</v>
      </c>
      <c r="D64" s="6" t="e">
        <f>+#REF!</f>
        <v>#REF!</v>
      </c>
      <c r="E64" s="6" t="e">
        <f>+#REF!</f>
        <v>#REF!</v>
      </c>
      <c r="F64" s="6" t="e">
        <f>+#REF!</f>
        <v>#REF!</v>
      </c>
      <c r="G64" s="6" t="e">
        <f>+#REF!</f>
        <v>#REF!</v>
      </c>
      <c r="H64" s="6" t="e">
        <f>+#REF!</f>
        <v>#REF!</v>
      </c>
      <c r="I64" s="6" t="e">
        <f>+#REF!</f>
        <v>#REF!</v>
      </c>
      <c r="J64" s="6" t="e">
        <f>+#REF!</f>
        <v>#REF!</v>
      </c>
    </row>
    <row r="65" spans="1:10" ht="15" customHeight="1" x14ac:dyDescent="0.25">
      <c r="A65" s="10" t="e">
        <f>+#REF!</f>
        <v>#REF!</v>
      </c>
      <c r="B65" s="6" t="e">
        <f>+#REF!</f>
        <v>#REF!</v>
      </c>
      <c r="C65" s="6" t="e">
        <f>+#REF!</f>
        <v>#REF!</v>
      </c>
      <c r="D65" s="6" t="e">
        <f>+#REF!</f>
        <v>#REF!</v>
      </c>
      <c r="E65" s="6" t="e">
        <f>+#REF!</f>
        <v>#REF!</v>
      </c>
      <c r="F65" s="6" t="e">
        <f>+#REF!</f>
        <v>#REF!</v>
      </c>
      <c r="G65" s="6" t="e">
        <f>+#REF!</f>
        <v>#REF!</v>
      </c>
      <c r="H65" s="6" t="e">
        <f>+#REF!</f>
        <v>#REF!</v>
      </c>
      <c r="I65" s="6" t="e">
        <f>+#REF!</f>
        <v>#REF!</v>
      </c>
      <c r="J65" s="6" t="e">
        <f>+#REF!</f>
        <v>#REF!</v>
      </c>
    </row>
    <row r="66" spans="1:10" ht="15" customHeight="1" x14ac:dyDescent="0.25">
      <c r="A66" s="10" t="e">
        <f>+#REF!</f>
        <v>#REF!</v>
      </c>
      <c r="B66" s="6" t="e">
        <f>+#REF!</f>
        <v>#REF!</v>
      </c>
      <c r="C66" s="6" t="e">
        <f>+#REF!</f>
        <v>#REF!</v>
      </c>
      <c r="D66" s="6" t="e">
        <f>+#REF!</f>
        <v>#REF!</v>
      </c>
      <c r="E66" s="6" t="e">
        <f>+#REF!</f>
        <v>#REF!</v>
      </c>
      <c r="F66" s="6" t="e">
        <f>+#REF!</f>
        <v>#REF!</v>
      </c>
      <c r="G66" s="6" t="e">
        <f>+#REF!</f>
        <v>#REF!</v>
      </c>
      <c r="H66" s="6" t="e">
        <f>+#REF!</f>
        <v>#REF!</v>
      </c>
      <c r="I66" s="6" t="e">
        <f>+#REF!</f>
        <v>#REF!</v>
      </c>
      <c r="J66" s="6" t="e">
        <f>+#REF!</f>
        <v>#REF!</v>
      </c>
    </row>
    <row r="67" spans="1:10" ht="15" customHeight="1" x14ac:dyDescent="0.25">
      <c r="A67" s="10" t="e">
        <f>+#REF!</f>
        <v>#REF!</v>
      </c>
      <c r="B67" s="6" t="e">
        <f>+#REF!</f>
        <v>#REF!</v>
      </c>
      <c r="C67" s="6" t="e">
        <f>+#REF!</f>
        <v>#REF!</v>
      </c>
      <c r="D67" s="6" t="e">
        <f>+#REF!</f>
        <v>#REF!</v>
      </c>
      <c r="E67" s="6" t="e">
        <f>+#REF!</f>
        <v>#REF!</v>
      </c>
      <c r="F67" s="6" t="e">
        <f>+#REF!</f>
        <v>#REF!</v>
      </c>
      <c r="G67" s="6" t="e">
        <f>+#REF!</f>
        <v>#REF!</v>
      </c>
      <c r="H67" s="6" t="e">
        <f>+#REF!</f>
        <v>#REF!</v>
      </c>
      <c r="I67" s="6" t="e">
        <f>+#REF!</f>
        <v>#REF!</v>
      </c>
      <c r="J67" s="6" t="e">
        <f>+#REF!</f>
        <v>#REF!</v>
      </c>
    </row>
    <row r="68" spans="1:10" ht="15" customHeight="1" x14ac:dyDescent="0.25">
      <c r="A68" s="10" t="e">
        <f>+#REF!</f>
        <v>#REF!</v>
      </c>
      <c r="B68" s="6" t="e">
        <f>+#REF!</f>
        <v>#REF!</v>
      </c>
      <c r="C68" s="6" t="e">
        <f>+#REF!</f>
        <v>#REF!</v>
      </c>
      <c r="D68" s="6" t="e">
        <f>+#REF!</f>
        <v>#REF!</v>
      </c>
      <c r="E68" s="6" t="e">
        <f>+#REF!</f>
        <v>#REF!</v>
      </c>
      <c r="F68" s="6" t="e">
        <f>+#REF!</f>
        <v>#REF!</v>
      </c>
      <c r="G68" s="6" t="e">
        <f>+#REF!</f>
        <v>#REF!</v>
      </c>
      <c r="H68" s="6" t="e">
        <f>+#REF!</f>
        <v>#REF!</v>
      </c>
      <c r="I68" s="6" t="e">
        <f>+#REF!</f>
        <v>#REF!</v>
      </c>
      <c r="J68" s="6" t="e">
        <f>+#REF!</f>
        <v>#REF!</v>
      </c>
    </row>
    <row r="69" spans="1:10" ht="15" customHeight="1" x14ac:dyDescent="0.25">
      <c r="A69" s="10" t="e">
        <f>+#REF!</f>
        <v>#REF!</v>
      </c>
      <c r="B69" s="6" t="e">
        <f>+#REF!</f>
        <v>#REF!</v>
      </c>
      <c r="C69" s="6" t="e">
        <f>+#REF!</f>
        <v>#REF!</v>
      </c>
      <c r="D69" s="6" t="e">
        <f>+#REF!</f>
        <v>#REF!</v>
      </c>
      <c r="E69" s="6" t="e">
        <f>+#REF!</f>
        <v>#REF!</v>
      </c>
      <c r="F69" s="6" t="e">
        <f>+#REF!</f>
        <v>#REF!</v>
      </c>
      <c r="G69" s="6" t="e">
        <f>+#REF!</f>
        <v>#REF!</v>
      </c>
      <c r="H69" s="6" t="e">
        <f>+#REF!</f>
        <v>#REF!</v>
      </c>
      <c r="I69" s="6" t="e">
        <f>+#REF!</f>
        <v>#REF!</v>
      </c>
      <c r="J69" s="6" t="e">
        <f>+#REF!</f>
        <v>#REF!</v>
      </c>
    </row>
    <row r="70" spans="1:10" ht="15" customHeight="1" x14ac:dyDescent="0.25">
      <c r="A70" s="10" t="e">
        <f>+#REF!</f>
        <v>#REF!</v>
      </c>
      <c r="B70" s="6" t="e">
        <f>+#REF!</f>
        <v>#REF!</v>
      </c>
      <c r="C70" s="6" t="e">
        <f>+#REF!</f>
        <v>#REF!</v>
      </c>
      <c r="D70" s="6" t="e">
        <f>+#REF!</f>
        <v>#REF!</v>
      </c>
      <c r="E70" s="6" t="e">
        <f>+#REF!</f>
        <v>#REF!</v>
      </c>
      <c r="F70" s="6" t="e">
        <f>+#REF!</f>
        <v>#REF!</v>
      </c>
      <c r="G70" s="6" t="e">
        <f>+#REF!</f>
        <v>#REF!</v>
      </c>
      <c r="H70" s="6" t="e">
        <f>+#REF!</f>
        <v>#REF!</v>
      </c>
      <c r="I70" s="6" t="e">
        <f>+#REF!</f>
        <v>#REF!</v>
      </c>
      <c r="J70" s="6" t="e">
        <f>+#REF!</f>
        <v>#REF!</v>
      </c>
    </row>
    <row r="71" spans="1:10" ht="15" customHeight="1" x14ac:dyDescent="0.25">
      <c r="A71" s="10" t="e">
        <f>+#REF!</f>
        <v>#REF!</v>
      </c>
      <c r="B71" s="6" t="e">
        <f>+#REF!</f>
        <v>#REF!</v>
      </c>
      <c r="C71" s="6" t="e">
        <f>+#REF!</f>
        <v>#REF!</v>
      </c>
      <c r="D71" s="6" t="e">
        <f>+#REF!</f>
        <v>#REF!</v>
      </c>
      <c r="E71" s="6" t="e">
        <f>+#REF!</f>
        <v>#REF!</v>
      </c>
      <c r="F71" s="6" t="e">
        <f>+#REF!</f>
        <v>#REF!</v>
      </c>
      <c r="G71" s="6" t="e">
        <f>+#REF!</f>
        <v>#REF!</v>
      </c>
      <c r="H71" s="6" t="e">
        <f>+#REF!</f>
        <v>#REF!</v>
      </c>
      <c r="I71" s="6" t="e">
        <f>+#REF!</f>
        <v>#REF!</v>
      </c>
      <c r="J71" s="6" t="e">
        <f>+#REF!</f>
        <v>#REF!</v>
      </c>
    </row>
    <row r="72" spans="1:10" ht="15" customHeight="1" x14ac:dyDescent="0.25">
      <c r="A72" s="10" t="e">
        <f>+#REF!</f>
        <v>#REF!</v>
      </c>
      <c r="B72" s="6" t="e">
        <f>+#REF!</f>
        <v>#REF!</v>
      </c>
      <c r="C72" s="6" t="e">
        <f>+#REF!</f>
        <v>#REF!</v>
      </c>
      <c r="D72" s="6" t="e">
        <f>+#REF!</f>
        <v>#REF!</v>
      </c>
      <c r="E72" s="6" t="e">
        <f>+#REF!</f>
        <v>#REF!</v>
      </c>
      <c r="F72" s="6" t="e">
        <f>+#REF!</f>
        <v>#REF!</v>
      </c>
      <c r="G72" s="6" t="e">
        <f>+#REF!</f>
        <v>#REF!</v>
      </c>
      <c r="H72" s="6" t="e">
        <f>+#REF!</f>
        <v>#REF!</v>
      </c>
      <c r="I72" s="6" t="e">
        <f>+#REF!</f>
        <v>#REF!</v>
      </c>
      <c r="J72" s="6" t="e">
        <f>+#REF!</f>
        <v>#REF!</v>
      </c>
    </row>
    <row r="73" spans="1:10" ht="15" customHeight="1" x14ac:dyDescent="0.25">
      <c r="A73" s="10" t="e">
        <f>+#REF!</f>
        <v>#REF!</v>
      </c>
      <c r="B73" s="6" t="e">
        <f>+#REF!</f>
        <v>#REF!</v>
      </c>
      <c r="C73" s="6" t="e">
        <f>+#REF!</f>
        <v>#REF!</v>
      </c>
      <c r="D73" s="6" t="e">
        <f>+#REF!</f>
        <v>#REF!</v>
      </c>
      <c r="E73" s="6" t="e">
        <f>+#REF!</f>
        <v>#REF!</v>
      </c>
      <c r="F73" s="6" t="e">
        <f>+#REF!</f>
        <v>#REF!</v>
      </c>
      <c r="G73" s="6" t="e">
        <f>+#REF!</f>
        <v>#REF!</v>
      </c>
      <c r="H73" s="6" t="e">
        <f>+#REF!</f>
        <v>#REF!</v>
      </c>
      <c r="I73" s="6" t="e">
        <f>+#REF!</f>
        <v>#REF!</v>
      </c>
      <c r="J73" s="6" t="e">
        <f>+#REF!</f>
        <v>#REF!</v>
      </c>
    </row>
    <row r="74" spans="1:10" ht="15" customHeight="1" x14ac:dyDescent="0.25">
      <c r="A74" s="10" t="e">
        <f>+#REF!</f>
        <v>#REF!</v>
      </c>
      <c r="B74" s="6" t="e">
        <f>+#REF!</f>
        <v>#REF!</v>
      </c>
      <c r="C74" s="6" t="e">
        <f>+#REF!</f>
        <v>#REF!</v>
      </c>
      <c r="D74" s="6" t="e">
        <f>+#REF!</f>
        <v>#REF!</v>
      </c>
      <c r="E74" s="6" t="e">
        <f>+#REF!</f>
        <v>#REF!</v>
      </c>
      <c r="F74" s="6" t="e">
        <f>+#REF!</f>
        <v>#REF!</v>
      </c>
      <c r="G74" s="6" t="e">
        <f>+#REF!</f>
        <v>#REF!</v>
      </c>
      <c r="H74" s="6" t="e">
        <f>+#REF!</f>
        <v>#REF!</v>
      </c>
      <c r="I74" s="6" t="e">
        <f>+#REF!</f>
        <v>#REF!</v>
      </c>
      <c r="J74" s="6" t="e">
        <f>+#REF!</f>
        <v>#REF!</v>
      </c>
    </row>
    <row r="75" spans="1:10" ht="15" customHeight="1" x14ac:dyDescent="0.25">
      <c r="A75" s="10" t="e">
        <f>+#REF!</f>
        <v>#REF!</v>
      </c>
      <c r="B75" s="6" t="e">
        <f>+#REF!</f>
        <v>#REF!</v>
      </c>
      <c r="C75" s="6" t="e">
        <f>+#REF!</f>
        <v>#REF!</v>
      </c>
      <c r="D75" s="6" t="e">
        <f>+#REF!</f>
        <v>#REF!</v>
      </c>
      <c r="E75" s="6" t="e">
        <f>+#REF!</f>
        <v>#REF!</v>
      </c>
      <c r="F75" s="6" t="e">
        <f>+#REF!</f>
        <v>#REF!</v>
      </c>
      <c r="G75" s="6" t="e">
        <f>+#REF!</f>
        <v>#REF!</v>
      </c>
      <c r="H75" s="6" t="e">
        <f>+#REF!</f>
        <v>#REF!</v>
      </c>
      <c r="I75" s="6" t="e">
        <f>+#REF!</f>
        <v>#REF!</v>
      </c>
      <c r="J75" s="6" t="e">
        <f>+#REF!</f>
        <v>#REF!</v>
      </c>
    </row>
    <row r="76" spans="1:10" ht="15" customHeight="1" x14ac:dyDescent="0.25">
      <c r="A76" s="10" t="e">
        <f>+#REF!</f>
        <v>#REF!</v>
      </c>
      <c r="B76" s="6" t="e">
        <f>+#REF!</f>
        <v>#REF!</v>
      </c>
      <c r="C76" s="6" t="e">
        <f>+#REF!</f>
        <v>#REF!</v>
      </c>
      <c r="D76" s="6" t="e">
        <f>+#REF!</f>
        <v>#REF!</v>
      </c>
      <c r="E76" s="6" t="e">
        <f>+#REF!</f>
        <v>#REF!</v>
      </c>
      <c r="F76" s="6" t="e">
        <f>+#REF!</f>
        <v>#REF!</v>
      </c>
      <c r="G76" s="6" t="e">
        <f>+#REF!</f>
        <v>#REF!</v>
      </c>
      <c r="H76" s="6" t="e">
        <f>+#REF!</f>
        <v>#REF!</v>
      </c>
      <c r="I76" s="6" t="e">
        <f>+#REF!</f>
        <v>#REF!</v>
      </c>
      <c r="J76" s="6" t="e">
        <f>+#REF!</f>
        <v>#REF!</v>
      </c>
    </row>
    <row r="77" spans="1:10" ht="15" customHeight="1" x14ac:dyDescent="0.25">
      <c r="A77" s="10" t="e">
        <f>+#REF!</f>
        <v>#REF!</v>
      </c>
      <c r="B77" s="6" t="e">
        <f>+#REF!</f>
        <v>#REF!</v>
      </c>
      <c r="C77" s="6" t="e">
        <f>+#REF!</f>
        <v>#REF!</v>
      </c>
      <c r="D77" s="6" t="e">
        <f>+#REF!</f>
        <v>#REF!</v>
      </c>
      <c r="E77" s="6" t="e">
        <f>+#REF!</f>
        <v>#REF!</v>
      </c>
      <c r="F77" s="6" t="e">
        <f>+#REF!</f>
        <v>#REF!</v>
      </c>
      <c r="G77" s="6" t="e">
        <f>+#REF!</f>
        <v>#REF!</v>
      </c>
      <c r="H77" s="6" t="e">
        <f>+#REF!</f>
        <v>#REF!</v>
      </c>
      <c r="I77" s="6" t="e">
        <f>+#REF!</f>
        <v>#REF!</v>
      </c>
      <c r="J77" s="6" t="e">
        <f>+#REF!</f>
        <v>#REF!</v>
      </c>
    </row>
    <row r="78" spans="1:10" ht="15" customHeight="1" x14ac:dyDescent="0.25">
      <c r="A78" s="10" t="e">
        <f>+#REF!</f>
        <v>#REF!</v>
      </c>
      <c r="B78" s="6" t="e">
        <f>+#REF!</f>
        <v>#REF!</v>
      </c>
      <c r="C78" s="6" t="e">
        <f>+#REF!</f>
        <v>#REF!</v>
      </c>
      <c r="D78" s="6" t="e">
        <f>+#REF!</f>
        <v>#REF!</v>
      </c>
      <c r="E78" s="6" t="e">
        <f>+#REF!</f>
        <v>#REF!</v>
      </c>
      <c r="F78" s="6" t="e">
        <f>+#REF!</f>
        <v>#REF!</v>
      </c>
      <c r="G78" s="6" t="e">
        <f>+#REF!</f>
        <v>#REF!</v>
      </c>
      <c r="H78" s="6" t="e">
        <f>+#REF!</f>
        <v>#REF!</v>
      </c>
      <c r="I78" s="6" t="e">
        <f>+#REF!</f>
        <v>#REF!</v>
      </c>
      <c r="J78" s="6" t="e">
        <f>+#REF!</f>
        <v>#REF!</v>
      </c>
    </row>
    <row r="79" spans="1:10" ht="15" customHeight="1" x14ac:dyDescent="0.25">
      <c r="A79" s="10" t="e">
        <f>+#REF!</f>
        <v>#REF!</v>
      </c>
      <c r="B79" s="6" t="e">
        <f>+#REF!</f>
        <v>#REF!</v>
      </c>
      <c r="C79" s="6" t="e">
        <f>+#REF!</f>
        <v>#REF!</v>
      </c>
      <c r="D79" s="6" t="e">
        <f>+#REF!</f>
        <v>#REF!</v>
      </c>
      <c r="E79" s="6" t="e">
        <f>+#REF!</f>
        <v>#REF!</v>
      </c>
      <c r="F79" s="6" t="e">
        <f>+#REF!</f>
        <v>#REF!</v>
      </c>
      <c r="G79" s="6" t="e">
        <f>+#REF!</f>
        <v>#REF!</v>
      </c>
      <c r="H79" s="6" t="e">
        <f>+#REF!</f>
        <v>#REF!</v>
      </c>
      <c r="I79" s="6" t="e">
        <f>+#REF!</f>
        <v>#REF!</v>
      </c>
      <c r="J79" s="6" t="e">
        <f>+#REF!</f>
        <v>#REF!</v>
      </c>
    </row>
    <row r="80" spans="1:10" ht="15" customHeight="1" x14ac:dyDescent="0.25">
      <c r="A80" s="10" t="e">
        <f>+#REF!</f>
        <v>#REF!</v>
      </c>
      <c r="B80" s="6" t="e">
        <f>+#REF!</f>
        <v>#REF!</v>
      </c>
      <c r="C80" s="6" t="e">
        <f>+#REF!</f>
        <v>#REF!</v>
      </c>
      <c r="D80" s="6" t="e">
        <f>+#REF!</f>
        <v>#REF!</v>
      </c>
      <c r="E80" s="6" t="e">
        <f>+#REF!</f>
        <v>#REF!</v>
      </c>
      <c r="F80" s="6" t="e">
        <f>+#REF!</f>
        <v>#REF!</v>
      </c>
      <c r="G80" s="6" t="e">
        <f>+#REF!</f>
        <v>#REF!</v>
      </c>
      <c r="H80" s="6" t="e">
        <f>+#REF!</f>
        <v>#REF!</v>
      </c>
      <c r="I80" s="6" t="e">
        <f>+#REF!</f>
        <v>#REF!</v>
      </c>
      <c r="J80" s="6" t="e">
        <f>+#REF!</f>
        <v>#REF!</v>
      </c>
    </row>
    <row r="81" spans="1:10" ht="15" customHeight="1" x14ac:dyDescent="0.25">
      <c r="A81" s="10" t="e">
        <f>+#REF!</f>
        <v>#REF!</v>
      </c>
      <c r="B81" s="6" t="e">
        <f>+#REF!</f>
        <v>#REF!</v>
      </c>
      <c r="C81" s="6" t="e">
        <f>+#REF!</f>
        <v>#REF!</v>
      </c>
      <c r="D81" s="6" t="e">
        <f>+#REF!</f>
        <v>#REF!</v>
      </c>
      <c r="E81" s="6" t="e">
        <f>+#REF!</f>
        <v>#REF!</v>
      </c>
      <c r="F81" s="6" t="e">
        <f>+#REF!</f>
        <v>#REF!</v>
      </c>
      <c r="G81" s="6" t="e">
        <f>+#REF!</f>
        <v>#REF!</v>
      </c>
      <c r="H81" s="6" t="e">
        <f>+#REF!</f>
        <v>#REF!</v>
      </c>
      <c r="I81" s="6" t="e">
        <f>+#REF!</f>
        <v>#REF!</v>
      </c>
      <c r="J81" s="6" t="e">
        <f>+#REF!</f>
        <v>#REF!</v>
      </c>
    </row>
    <row r="82" spans="1:10" ht="15" customHeight="1" x14ac:dyDescent="0.25">
      <c r="A82" s="10" t="e">
        <f>+#REF!</f>
        <v>#REF!</v>
      </c>
      <c r="B82" s="6" t="e">
        <f>+#REF!</f>
        <v>#REF!</v>
      </c>
      <c r="C82" s="6" t="e">
        <f>+#REF!</f>
        <v>#REF!</v>
      </c>
      <c r="D82" s="6" t="e">
        <f>+#REF!</f>
        <v>#REF!</v>
      </c>
      <c r="E82" s="6" t="e">
        <f>+#REF!</f>
        <v>#REF!</v>
      </c>
      <c r="F82" s="6" t="e">
        <f>+#REF!</f>
        <v>#REF!</v>
      </c>
      <c r="G82" s="6" t="e">
        <f>+#REF!</f>
        <v>#REF!</v>
      </c>
      <c r="H82" s="6" t="e">
        <f>+#REF!</f>
        <v>#REF!</v>
      </c>
      <c r="I82" s="6" t="e">
        <f>+#REF!</f>
        <v>#REF!</v>
      </c>
      <c r="J82" s="6" t="e">
        <f>+#REF!</f>
        <v>#REF!</v>
      </c>
    </row>
    <row r="83" spans="1:10" ht="15" customHeight="1" x14ac:dyDescent="0.25">
      <c r="A83" s="10" t="e">
        <f>+#REF!</f>
        <v>#REF!</v>
      </c>
      <c r="B83" s="6" t="e">
        <f>+#REF!</f>
        <v>#REF!</v>
      </c>
      <c r="C83" s="6" t="e">
        <f>+#REF!</f>
        <v>#REF!</v>
      </c>
      <c r="D83" s="6" t="e">
        <f>+#REF!</f>
        <v>#REF!</v>
      </c>
      <c r="E83" s="6" t="e">
        <f>+#REF!</f>
        <v>#REF!</v>
      </c>
      <c r="F83" s="6" t="e">
        <f>+#REF!</f>
        <v>#REF!</v>
      </c>
      <c r="G83" s="6" t="e">
        <f>+#REF!</f>
        <v>#REF!</v>
      </c>
      <c r="H83" s="6" t="e">
        <f>+#REF!</f>
        <v>#REF!</v>
      </c>
      <c r="I83" s="6" t="e">
        <f>+#REF!</f>
        <v>#REF!</v>
      </c>
      <c r="J83" s="6" t="e">
        <f>+#REF!</f>
        <v>#REF!</v>
      </c>
    </row>
    <row r="84" spans="1:10" ht="15" customHeight="1" x14ac:dyDescent="0.25">
      <c r="A84" s="10" t="e">
        <f>+#REF!</f>
        <v>#REF!</v>
      </c>
      <c r="B84" s="6" t="e">
        <f>+#REF!</f>
        <v>#REF!</v>
      </c>
      <c r="C84" s="6" t="e">
        <f>+#REF!</f>
        <v>#REF!</v>
      </c>
      <c r="D84" s="6" t="e">
        <f>+#REF!</f>
        <v>#REF!</v>
      </c>
      <c r="E84" s="6" t="e">
        <f>+#REF!</f>
        <v>#REF!</v>
      </c>
      <c r="F84" s="6" t="e">
        <f>+#REF!</f>
        <v>#REF!</v>
      </c>
      <c r="G84" s="6" t="e">
        <f>+#REF!</f>
        <v>#REF!</v>
      </c>
      <c r="H84" s="6" t="e">
        <f>+#REF!</f>
        <v>#REF!</v>
      </c>
      <c r="I84" s="6" t="e">
        <f>+#REF!</f>
        <v>#REF!</v>
      </c>
      <c r="J84" s="6" t="e">
        <f>+#REF!</f>
        <v>#REF!</v>
      </c>
    </row>
    <row r="85" spans="1:10" ht="15" customHeight="1" x14ac:dyDescent="0.25">
      <c r="A85" s="10" t="e">
        <f>+#REF!</f>
        <v>#REF!</v>
      </c>
      <c r="B85" s="6" t="e">
        <f>+#REF!</f>
        <v>#REF!</v>
      </c>
      <c r="C85" s="6" t="e">
        <f>+#REF!</f>
        <v>#REF!</v>
      </c>
      <c r="D85" s="6" t="e">
        <f>+#REF!</f>
        <v>#REF!</v>
      </c>
      <c r="E85" s="6" t="e">
        <f>+#REF!</f>
        <v>#REF!</v>
      </c>
      <c r="F85" s="6" t="e">
        <f>+#REF!</f>
        <v>#REF!</v>
      </c>
      <c r="G85" s="6" t="e">
        <f>+#REF!</f>
        <v>#REF!</v>
      </c>
      <c r="H85" s="6" t="e">
        <f>+#REF!</f>
        <v>#REF!</v>
      </c>
      <c r="I85" s="6" t="e">
        <f>+#REF!</f>
        <v>#REF!</v>
      </c>
      <c r="J85" s="6" t="e">
        <f>+#REF!</f>
        <v>#REF!</v>
      </c>
    </row>
    <row r="86" spans="1:10" ht="15" customHeight="1" x14ac:dyDescent="0.25">
      <c r="A86" s="10" t="e">
        <f>+#REF!</f>
        <v>#REF!</v>
      </c>
      <c r="B86" s="6" t="e">
        <f>+#REF!</f>
        <v>#REF!</v>
      </c>
      <c r="C86" s="6" t="e">
        <f>+#REF!</f>
        <v>#REF!</v>
      </c>
      <c r="D86" s="6" t="e">
        <f>+#REF!</f>
        <v>#REF!</v>
      </c>
      <c r="E86" s="6" t="e">
        <f>+#REF!</f>
        <v>#REF!</v>
      </c>
      <c r="F86" s="6" t="e">
        <f>+#REF!</f>
        <v>#REF!</v>
      </c>
      <c r="G86" s="6" t="e">
        <f>+#REF!</f>
        <v>#REF!</v>
      </c>
      <c r="H86" s="6" t="e">
        <f>+#REF!</f>
        <v>#REF!</v>
      </c>
      <c r="I86" s="6" t="e">
        <f>+#REF!</f>
        <v>#REF!</v>
      </c>
      <c r="J86" s="6" t="e">
        <f>+#REF!</f>
        <v>#REF!</v>
      </c>
    </row>
    <row r="87" spans="1:10" ht="15" customHeight="1" x14ac:dyDescent="0.25">
      <c r="A87" s="10" t="e">
        <f>+#REF!</f>
        <v>#REF!</v>
      </c>
      <c r="B87" s="6" t="e">
        <f>+#REF!</f>
        <v>#REF!</v>
      </c>
      <c r="C87" s="6" t="e">
        <f>+#REF!</f>
        <v>#REF!</v>
      </c>
      <c r="D87" s="6" t="e">
        <f>+#REF!</f>
        <v>#REF!</v>
      </c>
      <c r="E87" s="6" t="e">
        <f>+#REF!</f>
        <v>#REF!</v>
      </c>
      <c r="F87" s="6" t="e">
        <f>+#REF!</f>
        <v>#REF!</v>
      </c>
      <c r="G87" s="6" t="e">
        <f>+#REF!</f>
        <v>#REF!</v>
      </c>
      <c r="H87" s="6" t="e">
        <f>+#REF!</f>
        <v>#REF!</v>
      </c>
      <c r="I87" s="6" t="e">
        <f>+#REF!</f>
        <v>#REF!</v>
      </c>
      <c r="J87" s="6" t="e">
        <f>+#REF!</f>
        <v>#REF!</v>
      </c>
    </row>
    <row r="88" spans="1:10" ht="15" customHeight="1" x14ac:dyDescent="0.25">
      <c r="A88" s="10" t="e">
        <f>+#REF!</f>
        <v>#REF!</v>
      </c>
      <c r="B88" s="6" t="e">
        <f>+#REF!</f>
        <v>#REF!</v>
      </c>
      <c r="C88" s="6" t="e">
        <f>+#REF!</f>
        <v>#REF!</v>
      </c>
      <c r="D88" s="6" t="e">
        <f>+#REF!</f>
        <v>#REF!</v>
      </c>
      <c r="E88" s="6" t="e">
        <f>+#REF!</f>
        <v>#REF!</v>
      </c>
      <c r="F88" s="6" t="e">
        <f>+#REF!</f>
        <v>#REF!</v>
      </c>
      <c r="G88" s="6" t="e">
        <f>+#REF!</f>
        <v>#REF!</v>
      </c>
      <c r="H88" s="6" t="e">
        <f>+#REF!</f>
        <v>#REF!</v>
      </c>
      <c r="I88" s="6" t="e">
        <f>+#REF!</f>
        <v>#REF!</v>
      </c>
      <c r="J88" s="6" t="e">
        <f>+#REF!</f>
        <v>#REF!</v>
      </c>
    </row>
    <row r="89" spans="1:10" ht="15" customHeight="1" x14ac:dyDescent="0.25">
      <c r="A89" s="10" t="e">
        <f>+#REF!</f>
        <v>#REF!</v>
      </c>
      <c r="B89" s="6" t="e">
        <f>+#REF!</f>
        <v>#REF!</v>
      </c>
      <c r="C89" s="6" t="e">
        <f>+#REF!</f>
        <v>#REF!</v>
      </c>
      <c r="D89" s="6" t="e">
        <f>+#REF!</f>
        <v>#REF!</v>
      </c>
      <c r="E89" s="6" t="e">
        <f>+#REF!</f>
        <v>#REF!</v>
      </c>
      <c r="F89" s="6" t="e">
        <f>+#REF!</f>
        <v>#REF!</v>
      </c>
      <c r="G89" s="6" t="e">
        <f>+#REF!</f>
        <v>#REF!</v>
      </c>
      <c r="H89" s="6" t="e">
        <f>+#REF!</f>
        <v>#REF!</v>
      </c>
      <c r="I89" s="6" t="e">
        <f>+#REF!</f>
        <v>#REF!</v>
      </c>
      <c r="J89" s="6" t="e">
        <f>+#REF!</f>
        <v>#REF!</v>
      </c>
    </row>
    <row r="90" spans="1:10" ht="15" customHeight="1" x14ac:dyDescent="0.25">
      <c r="A90" s="10" t="e">
        <f>+#REF!</f>
        <v>#REF!</v>
      </c>
      <c r="B90" s="6" t="e">
        <f>+#REF!</f>
        <v>#REF!</v>
      </c>
      <c r="C90" s="6" t="e">
        <f>+#REF!</f>
        <v>#REF!</v>
      </c>
      <c r="D90" s="6" t="e">
        <f>+#REF!</f>
        <v>#REF!</v>
      </c>
      <c r="E90" s="6" t="e">
        <f>+#REF!</f>
        <v>#REF!</v>
      </c>
      <c r="F90" s="6" t="e">
        <f>+#REF!</f>
        <v>#REF!</v>
      </c>
      <c r="G90" s="6" t="e">
        <f>+#REF!</f>
        <v>#REF!</v>
      </c>
      <c r="H90" s="6" t="e">
        <f>+#REF!</f>
        <v>#REF!</v>
      </c>
      <c r="I90" s="6" t="e">
        <f>+#REF!</f>
        <v>#REF!</v>
      </c>
      <c r="J90" s="6" t="e">
        <f>+#REF!</f>
        <v>#REF!</v>
      </c>
    </row>
    <row r="91" spans="1:10" ht="15" customHeight="1" x14ac:dyDescent="0.25">
      <c r="A91" s="10" t="e">
        <f>+#REF!</f>
        <v>#REF!</v>
      </c>
      <c r="B91" s="6" t="e">
        <f>+#REF!</f>
        <v>#REF!</v>
      </c>
      <c r="C91" s="6" t="e">
        <f>+#REF!</f>
        <v>#REF!</v>
      </c>
      <c r="D91" s="6" t="e">
        <f>+#REF!</f>
        <v>#REF!</v>
      </c>
      <c r="E91" s="6" t="e">
        <f>+#REF!</f>
        <v>#REF!</v>
      </c>
      <c r="F91" s="6" t="e">
        <f>+#REF!</f>
        <v>#REF!</v>
      </c>
      <c r="G91" s="6" t="e">
        <f>+#REF!</f>
        <v>#REF!</v>
      </c>
      <c r="H91" s="6" t="e">
        <f>+#REF!</f>
        <v>#REF!</v>
      </c>
      <c r="I91" s="6" t="e">
        <f>+#REF!</f>
        <v>#REF!</v>
      </c>
      <c r="J91" s="6" t="e">
        <f>+#REF!</f>
        <v>#REF!</v>
      </c>
    </row>
    <row r="92" spans="1:10" ht="15" customHeight="1" x14ac:dyDescent="0.25">
      <c r="A92" s="10" t="e">
        <f>+#REF!</f>
        <v>#REF!</v>
      </c>
      <c r="B92" s="6" t="e">
        <f>+#REF!</f>
        <v>#REF!</v>
      </c>
      <c r="C92" s="6" t="e">
        <f>+#REF!</f>
        <v>#REF!</v>
      </c>
      <c r="D92" s="6" t="e">
        <f>+#REF!</f>
        <v>#REF!</v>
      </c>
      <c r="E92" s="6" t="e">
        <f>+#REF!</f>
        <v>#REF!</v>
      </c>
      <c r="F92" s="6" t="e">
        <f>+#REF!</f>
        <v>#REF!</v>
      </c>
      <c r="G92" s="6" t="e">
        <f>+#REF!</f>
        <v>#REF!</v>
      </c>
      <c r="H92" s="6" t="e">
        <f>+#REF!</f>
        <v>#REF!</v>
      </c>
      <c r="I92" s="6" t="e">
        <f>+#REF!</f>
        <v>#REF!</v>
      </c>
      <c r="J92" s="6" t="e">
        <f>+#REF!</f>
        <v>#REF!</v>
      </c>
    </row>
    <row r="93" spans="1:10" ht="15" customHeight="1" x14ac:dyDescent="0.25">
      <c r="A93" s="10" t="e">
        <f>+#REF!</f>
        <v>#REF!</v>
      </c>
      <c r="B93" s="6" t="e">
        <f>+#REF!</f>
        <v>#REF!</v>
      </c>
      <c r="C93" s="6" t="e">
        <f>+#REF!</f>
        <v>#REF!</v>
      </c>
      <c r="D93" s="6" t="e">
        <f>+#REF!</f>
        <v>#REF!</v>
      </c>
      <c r="E93" s="6" t="e">
        <f>+#REF!</f>
        <v>#REF!</v>
      </c>
      <c r="F93" s="6" t="e">
        <f>+#REF!</f>
        <v>#REF!</v>
      </c>
      <c r="G93" s="6" t="e">
        <f>+#REF!</f>
        <v>#REF!</v>
      </c>
      <c r="H93" s="6" t="e">
        <f>+#REF!</f>
        <v>#REF!</v>
      </c>
      <c r="I93" s="6" t="e">
        <f>+#REF!</f>
        <v>#REF!</v>
      </c>
      <c r="J93" s="6" t="e">
        <f>+#REF!</f>
        <v>#REF!</v>
      </c>
    </row>
    <row r="94" spans="1:10" ht="15" customHeight="1" x14ac:dyDescent="0.25">
      <c r="A94" s="10" t="e">
        <f>+#REF!</f>
        <v>#REF!</v>
      </c>
      <c r="B94" s="6" t="e">
        <f>+#REF!</f>
        <v>#REF!</v>
      </c>
      <c r="C94" s="6" t="e">
        <f>+#REF!</f>
        <v>#REF!</v>
      </c>
      <c r="D94" s="6" t="e">
        <f>+#REF!</f>
        <v>#REF!</v>
      </c>
      <c r="E94" s="6" t="e">
        <f>+#REF!</f>
        <v>#REF!</v>
      </c>
      <c r="F94" s="6" t="e">
        <f>+#REF!</f>
        <v>#REF!</v>
      </c>
      <c r="G94" s="6" t="e">
        <f>+#REF!</f>
        <v>#REF!</v>
      </c>
      <c r="H94" s="6" t="e">
        <f>+#REF!</f>
        <v>#REF!</v>
      </c>
      <c r="I94" s="6" t="e">
        <f>+#REF!</f>
        <v>#REF!</v>
      </c>
      <c r="J94" s="6" t="e">
        <f>+#REF!</f>
        <v>#REF!</v>
      </c>
    </row>
    <row r="95" spans="1:10" ht="15" customHeight="1" x14ac:dyDescent="0.25">
      <c r="A95" s="10" t="e">
        <f>+#REF!</f>
        <v>#REF!</v>
      </c>
      <c r="B95" s="6" t="e">
        <f>+#REF!</f>
        <v>#REF!</v>
      </c>
      <c r="C95" s="6" t="e">
        <f>+#REF!</f>
        <v>#REF!</v>
      </c>
      <c r="D95" s="6" t="e">
        <f>+#REF!</f>
        <v>#REF!</v>
      </c>
      <c r="E95" s="6" t="e">
        <f>+#REF!</f>
        <v>#REF!</v>
      </c>
      <c r="F95" s="6" t="e">
        <f>+#REF!</f>
        <v>#REF!</v>
      </c>
      <c r="G95" s="6" t="e">
        <f>+#REF!</f>
        <v>#REF!</v>
      </c>
      <c r="H95" s="6" t="e">
        <f>+#REF!</f>
        <v>#REF!</v>
      </c>
      <c r="I95" s="6" t="e">
        <f>+#REF!</f>
        <v>#REF!</v>
      </c>
      <c r="J95" s="6" t="e">
        <f>+#REF!</f>
        <v>#REF!</v>
      </c>
    </row>
    <row r="96" spans="1:10" ht="15" customHeight="1" x14ac:dyDescent="0.25">
      <c r="A96" s="10" t="e">
        <f>+#REF!</f>
        <v>#REF!</v>
      </c>
      <c r="B96" s="6" t="e">
        <f>+#REF!</f>
        <v>#REF!</v>
      </c>
      <c r="C96" s="6" t="e">
        <f>+#REF!</f>
        <v>#REF!</v>
      </c>
      <c r="D96" s="6" t="e">
        <f>+#REF!</f>
        <v>#REF!</v>
      </c>
      <c r="E96" s="6" t="e">
        <f>+#REF!</f>
        <v>#REF!</v>
      </c>
      <c r="F96" s="6" t="e">
        <f>+#REF!</f>
        <v>#REF!</v>
      </c>
      <c r="G96" s="6" t="e">
        <f>+#REF!</f>
        <v>#REF!</v>
      </c>
      <c r="H96" s="6" t="e">
        <f>+#REF!</f>
        <v>#REF!</v>
      </c>
      <c r="I96" s="6" t="e">
        <f>+#REF!</f>
        <v>#REF!</v>
      </c>
      <c r="J96" s="6" t="e">
        <f>+#REF!</f>
        <v>#REF!</v>
      </c>
    </row>
    <row r="97" spans="1:10" ht="15" customHeight="1" x14ac:dyDescent="0.25">
      <c r="A97" s="10" t="e">
        <f>+#REF!</f>
        <v>#REF!</v>
      </c>
      <c r="B97" s="6" t="e">
        <f>+#REF!</f>
        <v>#REF!</v>
      </c>
      <c r="C97" s="6" t="e">
        <f>+#REF!</f>
        <v>#REF!</v>
      </c>
      <c r="D97" s="6" t="e">
        <f>+#REF!</f>
        <v>#REF!</v>
      </c>
      <c r="E97" s="6" t="e">
        <f>+#REF!</f>
        <v>#REF!</v>
      </c>
      <c r="F97" s="6" t="e">
        <f>+#REF!</f>
        <v>#REF!</v>
      </c>
      <c r="G97" s="6" t="e">
        <f>+#REF!</f>
        <v>#REF!</v>
      </c>
      <c r="H97" s="6" t="e">
        <f>+#REF!</f>
        <v>#REF!</v>
      </c>
      <c r="I97" s="6" t="e">
        <f>+#REF!</f>
        <v>#REF!</v>
      </c>
      <c r="J97" s="6" t="e">
        <f>+#REF!</f>
        <v>#REF!</v>
      </c>
    </row>
    <row r="98" spans="1:10" ht="15" customHeight="1" x14ac:dyDescent="0.25">
      <c r="A98" s="10" t="e">
        <f>+#REF!</f>
        <v>#REF!</v>
      </c>
      <c r="B98" s="6" t="e">
        <f>+#REF!</f>
        <v>#REF!</v>
      </c>
      <c r="C98" s="6" t="e">
        <f>+#REF!</f>
        <v>#REF!</v>
      </c>
      <c r="D98" s="6" t="e">
        <f>+#REF!</f>
        <v>#REF!</v>
      </c>
      <c r="E98" s="6" t="e">
        <f>+#REF!</f>
        <v>#REF!</v>
      </c>
      <c r="F98" s="6" t="e">
        <f>+#REF!</f>
        <v>#REF!</v>
      </c>
      <c r="G98" s="6" t="e">
        <f>+#REF!</f>
        <v>#REF!</v>
      </c>
      <c r="H98" s="6" t="e">
        <f>+#REF!</f>
        <v>#REF!</v>
      </c>
      <c r="I98" s="6" t="e">
        <f>+#REF!</f>
        <v>#REF!</v>
      </c>
      <c r="J98" s="6" t="e">
        <f>+#REF!</f>
        <v>#REF!</v>
      </c>
    </row>
    <row r="99" spans="1:10" ht="15" customHeight="1" x14ac:dyDescent="0.25">
      <c r="A99" s="10" t="e">
        <f>+#REF!</f>
        <v>#REF!</v>
      </c>
      <c r="B99" s="6" t="e">
        <f>+#REF!</f>
        <v>#REF!</v>
      </c>
      <c r="C99" s="6" t="e">
        <f>+#REF!</f>
        <v>#REF!</v>
      </c>
      <c r="D99" s="6" t="e">
        <f>+#REF!</f>
        <v>#REF!</v>
      </c>
      <c r="E99" s="6" t="e">
        <f>+#REF!</f>
        <v>#REF!</v>
      </c>
      <c r="F99" s="6" t="e">
        <f>+#REF!</f>
        <v>#REF!</v>
      </c>
      <c r="G99" s="6" t="e">
        <f>+#REF!</f>
        <v>#REF!</v>
      </c>
      <c r="H99" s="6" t="e">
        <f>+#REF!</f>
        <v>#REF!</v>
      </c>
      <c r="I99" s="6" t="e">
        <f>+#REF!</f>
        <v>#REF!</v>
      </c>
      <c r="J99" s="6" t="e">
        <f>+#REF!</f>
        <v>#REF!</v>
      </c>
    </row>
    <row r="100" spans="1:10" ht="15" customHeight="1" x14ac:dyDescent="0.25">
      <c r="A100" s="10" t="e">
        <f>+#REF!</f>
        <v>#REF!</v>
      </c>
      <c r="B100" s="6" t="e">
        <f>+#REF!</f>
        <v>#REF!</v>
      </c>
      <c r="C100" s="6" t="e">
        <f>+#REF!</f>
        <v>#REF!</v>
      </c>
      <c r="D100" s="6" t="e">
        <f>+#REF!</f>
        <v>#REF!</v>
      </c>
      <c r="E100" s="6" t="e">
        <f>+#REF!</f>
        <v>#REF!</v>
      </c>
      <c r="F100" s="6" t="e">
        <f>+#REF!</f>
        <v>#REF!</v>
      </c>
      <c r="G100" s="6" t="e">
        <f>+#REF!</f>
        <v>#REF!</v>
      </c>
      <c r="H100" s="6" t="e">
        <f>+#REF!</f>
        <v>#REF!</v>
      </c>
      <c r="I100" s="6" t="e">
        <f>+#REF!</f>
        <v>#REF!</v>
      </c>
      <c r="J100" s="6" t="e">
        <f>+#REF!</f>
        <v>#REF!</v>
      </c>
    </row>
    <row r="101" spans="1:10" ht="15" customHeight="1" x14ac:dyDescent="0.25">
      <c r="A101" s="10" t="e">
        <f>+#REF!</f>
        <v>#REF!</v>
      </c>
      <c r="B101" s="6" t="e">
        <f>+#REF!</f>
        <v>#REF!</v>
      </c>
      <c r="C101" s="6" t="e">
        <f>+#REF!</f>
        <v>#REF!</v>
      </c>
      <c r="D101" s="6" t="e">
        <f>+#REF!</f>
        <v>#REF!</v>
      </c>
      <c r="E101" s="6" t="e">
        <f>+#REF!</f>
        <v>#REF!</v>
      </c>
      <c r="F101" s="6" t="e">
        <f>+#REF!</f>
        <v>#REF!</v>
      </c>
      <c r="G101" s="6" t="e">
        <f>+#REF!</f>
        <v>#REF!</v>
      </c>
      <c r="H101" s="6" t="e">
        <f>+#REF!</f>
        <v>#REF!</v>
      </c>
      <c r="I101" s="6" t="e">
        <f>+#REF!</f>
        <v>#REF!</v>
      </c>
      <c r="J101" s="6" t="e">
        <f>+#REF!</f>
        <v>#REF!</v>
      </c>
    </row>
    <row r="102" spans="1:10" ht="15" customHeight="1" x14ac:dyDescent="0.25">
      <c r="A102" s="10" t="e">
        <f>+#REF!</f>
        <v>#REF!</v>
      </c>
      <c r="B102" s="6" t="e">
        <f>+#REF!</f>
        <v>#REF!</v>
      </c>
      <c r="C102" s="6" t="e">
        <f>+#REF!</f>
        <v>#REF!</v>
      </c>
      <c r="D102" s="6" t="e">
        <f>+#REF!</f>
        <v>#REF!</v>
      </c>
      <c r="E102" s="6" t="e">
        <f>+#REF!</f>
        <v>#REF!</v>
      </c>
      <c r="F102" s="6" t="e">
        <f>+#REF!</f>
        <v>#REF!</v>
      </c>
      <c r="G102" s="6" t="e">
        <f>+#REF!</f>
        <v>#REF!</v>
      </c>
      <c r="H102" s="6" t="e">
        <f>+#REF!</f>
        <v>#REF!</v>
      </c>
      <c r="I102" s="6" t="e">
        <f>+#REF!</f>
        <v>#REF!</v>
      </c>
      <c r="J102" s="6" t="e">
        <f>+#REF!</f>
        <v>#REF!</v>
      </c>
    </row>
    <row r="103" spans="1:10" ht="15" customHeight="1" x14ac:dyDescent="0.25">
      <c r="A103" s="10" t="e">
        <f>+#REF!</f>
        <v>#REF!</v>
      </c>
      <c r="B103" s="6" t="e">
        <f>+#REF!</f>
        <v>#REF!</v>
      </c>
      <c r="C103" s="6" t="e">
        <f>+#REF!</f>
        <v>#REF!</v>
      </c>
      <c r="D103" s="6" t="e">
        <f>+#REF!</f>
        <v>#REF!</v>
      </c>
      <c r="E103" s="6" t="e">
        <f>+#REF!</f>
        <v>#REF!</v>
      </c>
      <c r="F103" s="6" t="e">
        <f>+#REF!</f>
        <v>#REF!</v>
      </c>
      <c r="G103" s="6" t="e">
        <f>+#REF!</f>
        <v>#REF!</v>
      </c>
      <c r="H103" s="6" t="e">
        <f>+#REF!</f>
        <v>#REF!</v>
      </c>
      <c r="I103" s="6" t="e">
        <f>+#REF!</f>
        <v>#REF!</v>
      </c>
      <c r="J103" s="6" t="e">
        <f>+#REF!</f>
        <v>#REF!</v>
      </c>
    </row>
    <row r="104" spans="1:10" ht="15" customHeight="1" x14ac:dyDescent="0.25">
      <c r="A104" s="10" t="e">
        <f>+#REF!</f>
        <v>#REF!</v>
      </c>
      <c r="B104" s="6" t="e">
        <f>+#REF!</f>
        <v>#REF!</v>
      </c>
      <c r="C104" s="6" t="e">
        <f>+#REF!</f>
        <v>#REF!</v>
      </c>
      <c r="D104" s="6" t="e">
        <f>+#REF!</f>
        <v>#REF!</v>
      </c>
      <c r="E104" s="6" t="e">
        <f>+#REF!</f>
        <v>#REF!</v>
      </c>
      <c r="F104" s="6" t="e">
        <f>+#REF!</f>
        <v>#REF!</v>
      </c>
      <c r="G104" s="6" t="e">
        <f>+#REF!</f>
        <v>#REF!</v>
      </c>
      <c r="H104" s="6" t="e">
        <f>+#REF!</f>
        <v>#REF!</v>
      </c>
      <c r="I104" s="6" t="e">
        <f>+#REF!</f>
        <v>#REF!</v>
      </c>
      <c r="J104" s="6" t="e">
        <f>+#REF!</f>
        <v>#REF!</v>
      </c>
    </row>
    <row r="105" spans="1:10" ht="15" customHeight="1" x14ac:dyDescent="0.25">
      <c r="A105" s="10" t="e">
        <f>+#REF!</f>
        <v>#REF!</v>
      </c>
      <c r="B105" s="6" t="e">
        <f>+#REF!</f>
        <v>#REF!</v>
      </c>
      <c r="C105" s="6" t="e">
        <f>+#REF!</f>
        <v>#REF!</v>
      </c>
      <c r="D105" s="6" t="e">
        <f>+#REF!</f>
        <v>#REF!</v>
      </c>
      <c r="E105" s="6" t="e">
        <f>+#REF!</f>
        <v>#REF!</v>
      </c>
      <c r="F105" s="6" t="e">
        <f>+#REF!</f>
        <v>#REF!</v>
      </c>
      <c r="G105" s="6" t="e">
        <f>+#REF!</f>
        <v>#REF!</v>
      </c>
      <c r="H105" s="6" t="e">
        <f>+#REF!</f>
        <v>#REF!</v>
      </c>
      <c r="I105" s="6" t="e">
        <f>+#REF!</f>
        <v>#REF!</v>
      </c>
      <c r="J105" s="6" t="e">
        <f>+#REF!</f>
        <v>#REF!</v>
      </c>
    </row>
    <row r="106" spans="1:10" ht="15" customHeight="1" x14ac:dyDescent="0.25">
      <c r="A106" s="10" t="e">
        <f>+#REF!</f>
        <v>#REF!</v>
      </c>
      <c r="B106" s="6" t="e">
        <f>+#REF!</f>
        <v>#REF!</v>
      </c>
      <c r="C106" s="6" t="e">
        <f>+#REF!</f>
        <v>#REF!</v>
      </c>
      <c r="D106" s="6" t="e">
        <f>+#REF!</f>
        <v>#REF!</v>
      </c>
      <c r="E106" s="6" t="e">
        <f>+#REF!</f>
        <v>#REF!</v>
      </c>
      <c r="F106" s="6" t="e">
        <f>+#REF!</f>
        <v>#REF!</v>
      </c>
      <c r="G106" s="6" t="e">
        <f>+#REF!</f>
        <v>#REF!</v>
      </c>
      <c r="H106" s="6" t="e">
        <f>+#REF!</f>
        <v>#REF!</v>
      </c>
      <c r="I106" s="6" t="e">
        <f>+#REF!</f>
        <v>#REF!</v>
      </c>
      <c r="J106" s="6" t="e">
        <f>+#REF!</f>
        <v>#REF!</v>
      </c>
    </row>
    <row r="107" spans="1:10" ht="15" customHeight="1" x14ac:dyDescent="0.25">
      <c r="A107" s="10" t="e">
        <f>+#REF!</f>
        <v>#REF!</v>
      </c>
      <c r="B107" s="6" t="e">
        <f>+#REF!</f>
        <v>#REF!</v>
      </c>
      <c r="C107" s="6" t="e">
        <f>+#REF!</f>
        <v>#REF!</v>
      </c>
      <c r="D107" s="6" t="e">
        <f>+#REF!</f>
        <v>#REF!</v>
      </c>
      <c r="E107" s="6" t="e">
        <f>+#REF!</f>
        <v>#REF!</v>
      </c>
      <c r="F107" s="6" t="e">
        <f>+#REF!</f>
        <v>#REF!</v>
      </c>
      <c r="G107" s="6" t="e">
        <f>+#REF!</f>
        <v>#REF!</v>
      </c>
      <c r="H107" s="6" t="e">
        <f>+#REF!</f>
        <v>#REF!</v>
      </c>
      <c r="I107" s="6" t="e">
        <f>+#REF!</f>
        <v>#REF!</v>
      </c>
      <c r="J107" s="6" t="e">
        <f>+#REF!</f>
        <v>#REF!</v>
      </c>
    </row>
    <row r="108" spans="1:10" ht="15" customHeight="1" x14ac:dyDescent="0.25">
      <c r="A108" s="10" t="e">
        <f>+#REF!</f>
        <v>#REF!</v>
      </c>
      <c r="B108" s="6" t="e">
        <f>+#REF!</f>
        <v>#REF!</v>
      </c>
      <c r="C108" s="6" t="e">
        <f>+#REF!</f>
        <v>#REF!</v>
      </c>
      <c r="D108" s="6" t="e">
        <f>+#REF!</f>
        <v>#REF!</v>
      </c>
      <c r="E108" s="6" t="e">
        <f>+#REF!</f>
        <v>#REF!</v>
      </c>
      <c r="F108" s="6" t="e">
        <f>+#REF!</f>
        <v>#REF!</v>
      </c>
      <c r="G108" s="6" t="e">
        <f>+#REF!</f>
        <v>#REF!</v>
      </c>
      <c r="H108" s="6" t="e">
        <f>+#REF!</f>
        <v>#REF!</v>
      </c>
      <c r="I108" s="6" t="e">
        <f>+#REF!</f>
        <v>#REF!</v>
      </c>
      <c r="J108" s="6" t="e">
        <f>+#REF!</f>
        <v>#REF!</v>
      </c>
    </row>
    <row r="109" spans="1:10" ht="15" customHeight="1" x14ac:dyDescent="0.25">
      <c r="A109" s="10" t="e">
        <f>+#REF!</f>
        <v>#REF!</v>
      </c>
      <c r="B109" s="6" t="e">
        <f>+#REF!</f>
        <v>#REF!</v>
      </c>
      <c r="C109" s="6" t="e">
        <f>+#REF!</f>
        <v>#REF!</v>
      </c>
      <c r="D109" s="6" t="e">
        <f>+#REF!</f>
        <v>#REF!</v>
      </c>
      <c r="E109" s="6" t="e">
        <f>+#REF!</f>
        <v>#REF!</v>
      </c>
      <c r="F109" s="6" t="e">
        <f>+#REF!</f>
        <v>#REF!</v>
      </c>
      <c r="G109" s="6" t="e">
        <f>+#REF!</f>
        <v>#REF!</v>
      </c>
      <c r="H109" s="6" t="e">
        <f>+#REF!</f>
        <v>#REF!</v>
      </c>
      <c r="I109" s="6" t="e">
        <f>+#REF!</f>
        <v>#REF!</v>
      </c>
      <c r="J109" s="6" t="e">
        <f>+#REF!</f>
        <v>#REF!</v>
      </c>
    </row>
    <row r="110" spans="1:10" ht="15" customHeight="1" x14ac:dyDescent="0.25">
      <c r="A110" s="10" t="e">
        <f>+#REF!</f>
        <v>#REF!</v>
      </c>
      <c r="B110" s="6" t="e">
        <f>+#REF!</f>
        <v>#REF!</v>
      </c>
      <c r="C110" s="6" t="e">
        <f>+#REF!</f>
        <v>#REF!</v>
      </c>
      <c r="D110" s="6" t="e">
        <f>+#REF!</f>
        <v>#REF!</v>
      </c>
      <c r="E110" s="6" t="e">
        <f>+#REF!</f>
        <v>#REF!</v>
      </c>
      <c r="F110" s="6" t="e">
        <f>+#REF!</f>
        <v>#REF!</v>
      </c>
      <c r="G110" s="6" t="e">
        <f>+#REF!</f>
        <v>#REF!</v>
      </c>
      <c r="H110" s="6" t="e">
        <f>+#REF!</f>
        <v>#REF!</v>
      </c>
      <c r="I110" s="6" t="e">
        <f>+#REF!</f>
        <v>#REF!</v>
      </c>
      <c r="J110" s="6" t="e">
        <f>+#REF!</f>
        <v>#REF!</v>
      </c>
    </row>
    <row r="111" spans="1:10" ht="15" customHeight="1" x14ac:dyDescent="0.25">
      <c r="A111" s="10" t="e">
        <f>+#REF!</f>
        <v>#REF!</v>
      </c>
      <c r="B111" s="6" t="e">
        <f>+#REF!</f>
        <v>#REF!</v>
      </c>
      <c r="C111" s="6" t="e">
        <f>+#REF!</f>
        <v>#REF!</v>
      </c>
      <c r="D111" s="6" t="e">
        <f>+#REF!</f>
        <v>#REF!</v>
      </c>
      <c r="E111" s="6" t="e">
        <f>+#REF!</f>
        <v>#REF!</v>
      </c>
      <c r="F111" s="6" t="e">
        <f>+#REF!</f>
        <v>#REF!</v>
      </c>
      <c r="G111" s="6" t="e">
        <f>+#REF!</f>
        <v>#REF!</v>
      </c>
      <c r="H111" s="6" t="e">
        <f>+#REF!</f>
        <v>#REF!</v>
      </c>
      <c r="I111" s="6" t="e">
        <f>+#REF!</f>
        <v>#REF!</v>
      </c>
      <c r="J111" s="6" t="e">
        <f>+#REF!</f>
        <v>#REF!</v>
      </c>
    </row>
    <row r="112" spans="1:10" ht="15" customHeight="1" x14ac:dyDescent="0.25">
      <c r="A112" s="10" t="e">
        <f>+#REF!</f>
        <v>#REF!</v>
      </c>
      <c r="B112" s="6" t="e">
        <f>+#REF!</f>
        <v>#REF!</v>
      </c>
      <c r="C112" s="6" t="e">
        <f>+#REF!</f>
        <v>#REF!</v>
      </c>
      <c r="D112" s="6" t="e">
        <f>+#REF!</f>
        <v>#REF!</v>
      </c>
      <c r="E112" s="6" t="e">
        <f>+#REF!</f>
        <v>#REF!</v>
      </c>
      <c r="F112" s="6" t="e">
        <f>+#REF!</f>
        <v>#REF!</v>
      </c>
      <c r="G112" s="6" t="e">
        <f>+#REF!</f>
        <v>#REF!</v>
      </c>
      <c r="H112" s="6" t="e">
        <f>+#REF!</f>
        <v>#REF!</v>
      </c>
      <c r="I112" s="6" t="e">
        <f>+#REF!</f>
        <v>#REF!</v>
      </c>
      <c r="J112" s="6" t="e">
        <f>+#REF!</f>
        <v>#REF!</v>
      </c>
    </row>
    <row r="113" spans="1:10" ht="15" customHeight="1" x14ac:dyDescent="0.25">
      <c r="A113" s="10" t="e">
        <f>+#REF!</f>
        <v>#REF!</v>
      </c>
      <c r="B113" s="6" t="e">
        <f>+#REF!</f>
        <v>#REF!</v>
      </c>
      <c r="C113" s="6" t="e">
        <f>+#REF!</f>
        <v>#REF!</v>
      </c>
      <c r="D113" s="6" t="e">
        <f>+#REF!</f>
        <v>#REF!</v>
      </c>
      <c r="E113" s="6" t="e">
        <f>+#REF!</f>
        <v>#REF!</v>
      </c>
      <c r="F113" s="6" t="e">
        <f>+#REF!</f>
        <v>#REF!</v>
      </c>
      <c r="G113" s="6" t="e">
        <f>+#REF!</f>
        <v>#REF!</v>
      </c>
      <c r="H113" s="6" t="e">
        <f>+#REF!</f>
        <v>#REF!</v>
      </c>
      <c r="I113" s="6" t="e">
        <f>+#REF!</f>
        <v>#REF!</v>
      </c>
      <c r="J113" s="6" t="e">
        <f>+#REF!</f>
        <v>#REF!</v>
      </c>
    </row>
    <row r="114" spans="1:10" ht="15" customHeight="1" x14ac:dyDescent="0.25">
      <c r="A114" s="10" t="e">
        <f>+#REF!</f>
        <v>#REF!</v>
      </c>
      <c r="B114" s="6" t="e">
        <f>+#REF!</f>
        <v>#REF!</v>
      </c>
      <c r="C114" s="6" t="e">
        <f>+#REF!</f>
        <v>#REF!</v>
      </c>
      <c r="D114" s="6" t="e">
        <f>+#REF!</f>
        <v>#REF!</v>
      </c>
      <c r="E114" s="6" t="e">
        <f>+#REF!</f>
        <v>#REF!</v>
      </c>
      <c r="F114" s="6" t="e">
        <f>+#REF!</f>
        <v>#REF!</v>
      </c>
      <c r="G114" s="6" t="e">
        <f>+#REF!</f>
        <v>#REF!</v>
      </c>
      <c r="H114" s="6" t="e">
        <f>+#REF!</f>
        <v>#REF!</v>
      </c>
      <c r="I114" s="6" t="e">
        <f>+#REF!</f>
        <v>#REF!</v>
      </c>
      <c r="J114" s="6" t="e">
        <f>+#REF!</f>
        <v>#REF!</v>
      </c>
    </row>
    <row r="115" spans="1:10" ht="15" customHeight="1" x14ac:dyDescent="0.25">
      <c r="A115" s="10" t="e">
        <f>+#REF!</f>
        <v>#REF!</v>
      </c>
      <c r="B115" s="6" t="e">
        <f>+#REF!</f>
        <v>#REF!</v>
      </c>
      <c r="C115" s="6" t="e">
        <f>+#REF!</f>
        <v>#REF!</v>
      </c>
      <c r="D115" s="6" t="e">
        <f>+#REF!</f>
        <v>#REF!</v>
      </c>
      <c r="E115" s="6" t="e">
        <f>+#REF!</f>
        <v>#REF!</v>
      </c>
      <c r="F115" s="6" t="e">
        <f>+#REF!</f>
        <v>#REF!</v>
      </c>
      <c r="G115" s="6" t="e">
        <f>+#REF!</f>
        <v>#REF!</v>
      </c>
      <c r="H115" s="6" t="e">
        <f>+#REF!</f>
        <v>#REF!</v>
      </c>
      <c r="I115" s="6" t="e">
        <f>+#REF!</f>
        <v>#REF!</v>
      </c>
      <c r="J115" s="6" t="e">
        <f>+#REF!</f>
        <v>#REF!</v>
      </c>
    </row>
    <row r="116" spans="1:10" ht="15" customHeight="1" x14ac:dyDescent="0.25">
      <c r="A116" s="10" t="e">
        <f>+#REF!</f>
        <v>#REF!</v>
      </c>
      <c r="B116" s="6" t="e">
        <f>+#REF!</f>
        <v>#REF!</v>
      </c>
      <c r="C116" s="6" t="e">
        <f>+#REF!</f>
        <v>#REF!</v>
      </c>
      <c r="D116" s="6" t="e">
        <f>+#REF!</f>
        <v>#REF!</v>
      </c>
      <c r="E116" s="6" t="e">
        <f>+#REF!</f>
        <v>#REF!</v>
      </c>
      <c r="F116" s="6" t="e">
        <f>+#REF!</f>
        <v>#REF!</v>
      </c>
      <c r="G116" s="6" t="e">
        <f>+#REF!</f>
        <v>#REF!</v>
      </c>
      <c r="H116" s="6" t="e">
        <f>+#REF!</f>
        <v>#REF!</v>
      </c>
      <c r="I116" s="6" t="e">
        <f>+#REF!</f>
        <v>#REF!</v>
      </c>
      <c r="J116" s="6" t="e">
        <f>+#REF!</f>
        <v>#REF!</v>
      </c>
    </row>
    <row r="117" spans="1:10" ht="15" customHeight="1" x14ac:dyDescent="0.25">
      <c r="A117" s="10" t="e">
        <f>+#REF!</f>
        <v>#REF!</v>
      </c>
      <c r="B117" s="6" t="e">
        <f>+#REF!</f>
        <v>#REF!</v>
      </c>
      <c r="C117" s="6" t="e">
        <f>+#REF!</f>
        <v>#REF!</v>
      </c>
      <c r="D117" s="6" t="e">
        <f>+#REF!</f>
        <v>#REF!</v>
      </c>
      <c r="E117" s="6" t="e">
        <f>+#REF!</f>
        <v>#REF!</v>
      </c>
      <c r="F117" s="6" t="e">
        <f>+#REF!</f>
        <v>#REF!</v>
      </c>
      <c r="G117" s="6" t="e">
        <f>+#REF!</f>
        <v>#REF!</v>
      </c>
      <c r="H117" s="6" t="e">
        <f>+#REF!</f>
        <v>#REF!</v>
      </c>
      <c r="I117" s="6" t="e">
        <f>+#REF!</f>
        <v>#REF!</v>
      </c>
      <c r="J117" s="6" t="e">
        <f>+#REF!</f>
        <v>#REF!</v>
      </c>
    </row>
    <row r="118" spans="1:10" ht="15" customHeight="1" x14ac:dyDescent="0.25">
      <c r="A118" s="10" t="e">
        <f>+#REF!</f>
        <v>#REF!</v>
      </c>
      <c r="B118" s="6" t="e">
        <f>+#REF!</f>
        <v>#REF!</v>
      </c>
      <c r="C118" s="6" t="e">
        <f>+#REF!</f>
        <v>#REF!</v>
      </c>
      <c r="D118" s="6" t="e">
        <f>+#REF!</f>
        <v>#REF!</v>
      </c>
      <c r="E118" s="6" t="e">
        <f>+#REF!</f>
        <v>#REF!</v>
      </c>
      <c r="F118" s="6" t="e">
        <f>+#REF!</f>
        <v>#REF!</v>
      </c>
      <c r="G118" s="6" t="e">
        <f>+#REF!</f>
        <v>#REF!</v>
      </c>
      <c r="H118" s="6" t="e">
        <f>+#REF!</f>
        <v>#REF!</v>
      </c>
      <c r="I118" s="6" t="e">
        <f>+#REF!</f>
        <v>#REF!</v>
      </c>
      <c r="J118" s="6" t="e">
        <f>+#REF!</f>
        <v>#REF!</v>
      </c>
    </row>
    <row r="119" spans="1:10" ht="15" customHeight="1" x14ac:dyDescent="0.25">
      <c r="A119" s="10" t="e">
        <f>+#REF!</f>
        <v>#REF!</v>
      </c>
      <c r="B119" s="6" t="e">
        <f>+#REF!</f>
        <v>#REF!</v>
      </c>
      <c r="C119" s="6" t="e">
        <f>+#REF!</f>
        <v>#REF!</v>
      </c>
      <c r="D119" s="6" t="e">
        <f>+#REF!</f>
        <v>#REF!</v>
      </c>
      <c r="E119" s="6" t="e">
        <f>+#REF!</f>
        <v>#REF!</v>
      </c>
      <c r="F119" s="6" t="e">
        <f>+#REF!</f>
        <v>#REF!</v>
      </c>
      <c r="G119" s="6" t="e">
        <f>+#REF!</f>
        <v>#REF!</v>
      </c>
      <c r="H119" s="6" t="e">
        <f>+#REF!</f>
        <v>#REF!</v>
      </c>
      <c r="I119" s="6" t="e">
        <f>+#REF!</f>
        <v>#REF!</v>
      </c>
      <c r="J119" s="6" t="e">
        <f>+#REF!</f>
        <v>#REF!</v>
      </c>
    </row>
    <row r="120" spans="1:10" ht="15" customHeight="1" x14ac:dyDescent="0.25">
      <c r="A120" s="10" t="e">
        <f>+#REF!</f>
        <v>#REF!</v>
      </c>
      <c r="B120" s="6" t="e">
        <f>+#REF!</f>
        <v>#REF!</v>
      </c>
      <c r="C120" s="6" t="e">
        <f>+#REF!</f>
        <v>#REF!</v>
      </c>
      <c r="D120" s="6" t="e">
        <f>+#REF!</f>
        <v>#REF!</v>
      </c>
      <c r="E120" s="6" t="e">
        <f>+#REF!</f>
        <v>#REF!</v>
      </c>
      <c r="F120" s="6" t="e">
        <f>+#REF!</f>
        <v>#REF!</v>
      </c>
      <c r="G120" s="6" t="e">
        <f>+#REF!</f>
        <v>#REF!</v>
      </c>
      <c r="H120" s="6" t="e">
        <f>+#REF!</f>
        <v>#REF!</v>
      </c>
      <c r="I120" s="6" t="e">
        <f>+#REF!</f>
        <v>#REF!</v>
      </c>
      <c r="J120" s="6" t="e">
        <f>+#REF!</f>
        <v>#REF!</v>
      </c>
    </row>
    <row r="121" spans="1:10" ht="15" customHeight="1" x14ac:dyDescent="0.25">
      <c r="A121" s="10" t="e">
        <f>+#REF!</f>
        <v>#REF!</v>
      </c>
      <c r="B121" s="6" t="e">
        <f>+#REF!</f>
        <v>#REF!</v>
      </c>
      <c r="C121" s="6" t="e">
        <f>+#REF!</f>
        <v>#REF!</v>
      </c>
      <c r="D121" s="6" t="e">
        <f>+#REF!</f>
        <v>#REF!</v>
      </c>
      <c r="E121" s="6" t="e">
        <f>+#REF!</f>
        <v>#REF!</v>
      </c>
      <c r="F121" s="6" t="e">
        <f>+#REF!</f>
        <v>#REF!</v>
      </c>
      <c r="G121" s="6" t="e">
        <f>+#REF!</f>
        <v>#REF!</v>
      </c>
      <c r="H121" s="6" t="e">
        <f>+#REF!</f>
        <v>#REF!</v>
      </c>
      <c r="I121" s="6" t="e">
        <f>+#REF!</f>
        <v>#REF!</v>
      </c>
      <c r="J121" s="6" t="e">
        <f>+#REF!</f>
        <v>#REF!</v>
      </c>
    </row>
    <row r="122" spans="1:10" ht="15" customHeight="1" x14ac:dyDescent="0.25">
      <c r="A122" s="10" t="e">
        <f>+#REF!</f>
        <v>#REF!</v>
      </c>
      <c r="B122" s="6" t="e">
        <f>+#REF!</f>
        <v>#REF!</v>
      </c>
      <c r="C122" s="6" t="e">
        <f>+#REF!</f>
        <v>#REF!</v>
      </c>
      <c r="D122" s="6" t="e">
        <f>+#REF!</f>
        <v>#REF!</v>
      </c>
      <c r="E122" s="6" t="e">
        <f>+#REF!</f>
        <v>#REF!</v>
      </c>
      <c r="F122" s="6" t="e">
        <f>+#REF!</f>
        <v>#REF!</v>
      </c>
      <c r="G122" s="6" t="e">
        <f>+#REF!</f>
        <v>#REF!</v>
      </c>
      <c r="H122" s="6" t="e">
        <f>+#REF!</f>
        <v>#REF!</v>
      </c>
      <c r="I122" s="6" t="e">
        <f>+#REF!</f>
        <v>#REF!</v>
      </c>
      <c r="J122" s="6" t="e">
        <f>+#REF!</f>
        <v>#REF!</v>
      </c>
    </row>
    <row r="123" spans="1:10" ht="15" customHeight="1" x14ac:dyDescent="0.25">
      <c r="A123" s="10" t="e">
        <f>+#REF!</f>
        <v>#REF!</v>
      </c>
      <c r="B123" s="6" t="e">
        <f>+#REF!</f>
        <v>#REF!</v>
      </c>
      <c r="C123" s="6" t="e">
        <f>+#REF!</f>
        <v>#REF!</v>
      </c>
      <c r="D123" s="6" t="e">
        <f>+#REF!</f>
        <v>#REF!</v>
      </c>
      <c r="E123" s="6" t="e">
        <f>+#REF!</f>
        <v>#REF!</v>
      </c>
      <c r="F123" s="6" t="e">
        <f>+#REF!</f>
        <v>#REF!</v>
      </c>
      <c r="G123" s="6" t="e">
        <f>+#REF!</f>
        <v>#REF!</v>
      </c>
      <c r="H123" s="6" t="e">
        <f>+#REF!</f>
        <v>#REF!</v>
      </c>
      <c r="I123" s="6" t="e">
        <f>+#REF!</f>
        <v>#REF!</v>
      </c>
      <c r="J123" s="6" t="e">
        <f>+#REF!</f>
        <v>#REF!</v>
      </c>
    </row>
    <row r="124" spans="1:10" ht="15" customHeight="1" x14ac:dyDescent="0.25">
      <c r="A124" s="10" t="e">
        <f>+#REF!</f>
        <v>#REF!</v>
      </c>
      <c r="B124" s="6" t="e">
        <f>+#REF!</f>
        <v>#REF!</v>
      </c>
      <c r="C124" s="6" t="e">
        <f>+#REF!</f>
        <v>#REF!</v>
      </c>
      <c r="D124" s="6" t="e">
        <f>+#REF!</f>
        <v>#REF!</v>
      </c>
      <c r="E124" s="6" t="e">
        <f>+#REF!</f>
        <v>#REF!</v>
      </c>
      <c r="F124" s="6" t="e">
        <f>+#REF!</f>
        <v>#REF!</v>
      </c>
      <c r="G124" s="6" t="e">
        <f>+#REF!</f>
        <v>#REF!</v>
      </c>
      <c r="H124" s="6" t="e">
        <f>+#REF!</f>
        <v>#REF!</v>
      </c>
      <c r="I124" s="6" t="e">
        <f>+#REF!</f>
        <v>#REF!</v>
      </c>
      <c r="J124" s="6" t="e">
        <f>+#REF!</f>
        <v>#REF!</v>
      </c>
    </row>
    <row r="125" spans="1:10" ht="15" customHeight="1" x14ac:dyDescent="0.25">
      <c r="A125" s="10" t="e">
        <f>+#REF!</f>
        <v>#REF!</v>
      </c>
      <c r="B125" s="6" t="e">
        <f>+#REF!</f>
        <v>#REF!</v>
      </c>
      <c r="C125" s="6" t="e">
        <f>+#REF!</f>
        <v>#REF!</v>
      </c>
      <c r="D125" s="6" t="e">
        <f>+#REF!</f>
        <v>#REF!</v>
      </c>
      <c r="E125" s="6" t="e">
        <f>+#REF!</f>
        <v>#REF!</v>
      </c>
      <c r="F125" s="6" t="e">
        <f>+#REF!</f>
        <v>#REF!</v>
      </c>
      <c r="G125" s="6" t="e">
        <f>+#REF!</f>
        <v>#REF!</v>
      </c>
      <c r="H125" s="6" t="e">
        <f>+#REF!</f>
        <v>#REF!</v>
      </c>
      <c r="I125" s="6" t="e">
        <f>+#REF!</f>
        <v>#REF!</v>
      </c>
      <c r="J125" s="6" t="e">
        <f>+#REF!</f>
        <v>#REF!</v>
      </c>
    </row>
    <row r="126" spans="1:10" ht="15" customHeight="1" x14ac:dyDescent="0.25">
      <c r="A126" s="10" t="e">
        <f>+#REF!</f>
        <v>#REF!</v>
      </c>
      <c r="B126" s="6" t="e">
        <f>+#REF!</f>
        <v>#REF!</v>
      </c>
      <c r="C126" s="6" t="e">
        <f>+#REF!</f>
        <v>#REF!</v>
      </c>
      <c r="D126" s="6" t="e">
        <f>+#REF!</f>
        <v>#REF!</v>
      </c>
      <c r="E126" s="6" t="e">
        <f>+#REF!</f>
        <v>#REF!</v>
      </c>
      <c r="F126" s="6" t="e">
        <f>+#REF!</f>
        <v>#REF!</v>
      </c>
      <c r="G126" s="6" t="e">
        <f>+#REF!</f>
        <v>#REF!</v>
      </c>
      <c r="H126" s="6" t="e">
        <f>+#REF!</f>
        <v>#REF!</v>
      </c>
      <c r="I126" s="6" t="e">
        <f>+#REF!</f>
        <v>#REF!</v>
      </c>
      <c r="J126" s="6" t="e">
        <f>+#REF!</f>
        <v>#REF!</v>
      </c>
    </row>
    <row r="127" spans="1:10" ht="15" customHeight="1" x14ac:dyDescent="0.25">
      <c r="A127" s="10" t="e">
        <f>+#REF!</f>
        <v>#REF!</v>
      </c>
      <c r="B127" s="6" t="e">
        <f>+#REF!</f>
        <v>#REF!</v>
      </c>
      <c r="C127" s="6" t="e">
        <f>+#REF!</f>
        <v>#REF!</v>
      </c>
      <c r="D127" s="6" t="e">
        <f>+#REF!</f>
        <v>#REF!</v>
      </c>
      <c r="E127" s="6" t="e">
        <f>+#REF!</f>
        <v>#REF!</v>
      </c>
      <c r="F127" s="6" t="e">
        <f>+#REF!</f>
        <v>#REF!</v>
      </c>
      <c r="G127" s="6" t="e">
        <f>+#REF!</f>
        <v>#REF!</v>
      </c>
      <c r="H127" s="6" t="e">
        <f>+#REF!</f>
        <v>#REF!</v>
      </c>
      <c r="I127" s="6" t="e">
        <f>+#REF!</f>
        <v>#REF!</v>
      </c>
      <c r="J127" s="6" t="e">
        <f>+#REF!</f>
        <v>#REF!</v>
      </c>
    </row>
    <row r="128" spans="1:10" ht="15" customHeight="1" x14ac:dyDescent="0.25">
      <c r="A128" s="10" t="e">
        <f>+#REF!</f>
        <v>#REF!</v>
      </c>
      <c r="B128" s="6" t="e">
        <f>+#REF!</f>
        <v>#REF!</v>
      </c>
      <c r="C128" s="6" t="e">
        <f>+#REF!</f>
        <v>#REF!</v>
      </c>
      <c r="D128" s="6" t="e">
        <f>+#REF!</f>
        <v>#REF!</v>
      </c>
      <c r="E128" s="6" t="e">
        <f>+#REF!</f>
        <v>#REF!</v>
      </c>
      <c r="F128" s="6" t="e">
        <f>+#REF!</f>
        <v>#REF!</v>
      </c>
      <c r="G128" s="6" t="e">
        <f>+#REF!</f>
        <v>#REF!</v>
      </c>
      <c r="H128" s="6" t="e">
        <f>+#REF!</f>
        <v>#REF!</v>
      </c>
      <c r="I128" s="6" t="e">
        <f>+#REF!</f>
        <v>#REF!</v>
      </c>
      <c r="J128" s="6" t="e">
        <f>+#REF!</f>
        <v>#REF!</v>
      </c>
    </row>
    <row r="129" spans="1:10" ht="15" customHeight="1" x14ac:dyDescent="0.25">
      <c r="A129" s="10" t="e">
        <f>+#REF!</f>
        <v>#REF!</v>
      </c>
      <c r="B129" s="6" t="e">
        <f>+#REF!</f>
        <v>#REF!</v>
      </c>
      <c r="C129" s="6" t="e">
        <f>+#REF!</f>
        <v>#REF!</v>
      </c>
      <c r="D129" s="6" t="e">
        <f>+#REF!</f>
        <v>#REF!</v>
      </c>
      <c r="E129" s="6" t="e">
        <f>+#REF!</f>
        <v>#REF!</v>
      </c>
      <c r="F129" s="6" t="e">
        <f>+#REF!</f>
        <v>#REF!</v>
      </c>
      <c r="G129" s="6" t="e">
        <f>+#REF!</f>
        <v>#REF!</v>
      </c>
      <c r="H129" s="6" t="e">
        <f>+#REF!</f>
        <v>#REF!</v>
      </c>
      <c r="I129" s="6" t="e">
        <f>+#REF!</f>
        <v>#REF!</v>
      </c>
      <c r="J129" s="6" t="e">
        <f>+#REF!</f>
        <v>#REF!</v>
      </c>
    </row>
    <row r="130" spans="1:10" ht="15" customHeight="1" x14ac:dyDescent="0.25">
      <c r="A130" s="10" t="e">
        <f>+#REF!</f>
        <v>#REF!</v>
      </c>
      <c r="B130" s="6" t="e">
        <f>+#REF!</f>
        <v>#REF!</v>
      </c>
      <c r="C130" s="6" t="e">
        <f>+#REF!</f>
        <v>#REF!</v>
      </c>
      <c r="D130" s="6" t="e">
        <f>+#REF!</f>
        <v>#REF!</v>
      </c>
      <c r="E130" s="6" t="e">
        <f>+#REF!</f>
        <v>#REF!</v>
      </c>
      <c r="F130" s="6" t="e">
        <f>+#REF!</f>
        <v>#REF!</v>
      </c>
      <c r="G130" s="6" t="e">
        <f>+#REF!</f>
        <v>#REF!</v>
      </c>
      <c r="H130" s="6" t="e">
        <f>+#REF!</f>
        <v>#REF!</v>
      </c>
      <c r="I130" s="6" t="e">
        <f>+#REF!</f>
        <v>#REF!</v>
      </c>
      <c r="J130" s="6" t="e">
        <f>+#REF!</f>
        <v>#REF!</v>
      </c>
    </row>
    <row r="131" spans="1:10" ht="15" customHeight="1" x14ac:dyDescent="0.25">
      <c r="A131" s="2"/>
    </row>
    <row r="132" spans="1:10" ht="15" customHeight="1" x14ac:dyDescent="0.25">
      <c r="A132" s="2"/>
    </row>
    <row r="133" spans="1:10" ht="15" customHeight="1" x14ac:dyDescent="0.25">
      <c r="A133" s="2"/>
    </row>
    <row r="134" spans="1:10" ht="15" customHeight="1" x14ac:dyDescent="0.25">
      <c r="A134" s="2"/>
    </row>
    <row r="135" spans="1:10" ht="15" customHeight="1" x14ac:dyDescent="0.25">
      <c r="A135" s="2"/>
    </row>
    <row r="136" spans="1:10" ht="15" customHeight="1" x14ac:dyDescent="0.25">
      <c r="A136" s="2"/>
    </row>
    <row r="137" spans="1:10" ht="15" customHeight="1" x14ac:dyDescent="0.25">
      <c r="A137" s="2"/>
    </row>
    <row r="138" spans="1:10" ht="15" customHeight="1" x14ac:dyDescent="0.25">
      <c r="A138" s="2"/>
    </row>
    <row r="139" spans="1:10" ht="15" customHeight="1" x14ac:dyDescent="0.25">
      <c r="A139" s="2"/>
    </row>
    <row r="140" spans="1:10" ht="15" customHeight="1" x14ac:dyDescent="0.25">
      <c r="A140" s="2"/>
    </row>
    <row r="141" spans="1:10" ht="15" customHeight="1" x14ac:dyDescent="0.25">
      <c r="A141" s="2"/>
    </row>
    <row r="142" spans="1:10" ht="15" customHeight="1" x14ac:dyDescent="0.25">
      <c r="A142" s="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3" tint="-0.249977111117893"/>
    <pageSetUpPr fitToPage="1"/>
  </sheetPr>
  <dimension ref="A1:P89"/>
  <sheetViews>
    <sheetView showGridLines="0" workbookViewId="0"/>
  </sheetViews>
  <sheetFormatPr defaultColWidth="14" defaultRowHeight="29.25" customHeight="1" outlineLevelRow="1" x14ac:dyDescent="0.25"/>
  <cols>
    <col min="1" max="1" width="7.5703125" style="23" customWidth="1"/>
    <col min="2" max="10" width="14.42578125" style="39" customWidth="1"/>
    <col min="11" max="11" width="6.140625" style="23" customWidth="1"/>
    <col min="12" max="16384" width="14" style="23"/>
  </cols>
  <sheetData>
    <row r="1" spans="1:16" ht="61.5" customHeight="1" x14ac:dyDescent="0.25">
      <c r="A1" s="169" t="s">
        <v>24</v>
      </c>
      <c r="B1" s="169"/>
      <c r="C1" s="170"/>
      <c r="D1" s="170"/>
      <c r="E1" s="170"/>
      <c r="F1" s="170"/>
      <c r="G1" s="170"/>
      <c r="H1" s="170"/>
      <c r="I1" s="170"/>
      <c r="J1" s="170"/>
      <c r="M1" s="25" t="s">
        <v>21</v>
      </c>
      <c r="N1" s="26" t="str">
        <f>+daily!$N$2</f>
        <v>얼리버드비율</v>
      </c>
      <c r="P1" s="23" t="s">
        <v>82</v>
      </c>
    </row>
    <row r="2" spans="1:16" ht="21" customHeight="1" x14ac:dyDescent="0.25">
      <c r="A2" s="187" t="e">
        <f>+TEXT(N1,"yyyy-mm-dd")&amp;TEXT(F7,"   (#,###일차)")</f>
        <v>#VALUE!</v>
      </c>
      <c r="B2" s="38"/>
      <c r="C2" s="38"/>
      <c r="D2" s="38"/>
      <c r="E2" s="38"/>
      <c r="F2" s="38"/>
      <c r="G2" s="38"/>
      <c r="H2" s="38"/>
      <c r="I2" s="38"/>
      <c r="J2" s="38"/>
    </row>
    <row r="3" spans="1:16" ht="29.25" customHeight="1" x14ac:dyDescent="0.25">
      <c r="A3" s="127" t="s">
        <v>26</v>
      </c>
      <c r="I3" s="40"/>
      <c r="J3" s="40" t="s">
        <v>25</v>
      </c>
    </row>
    <row r="4" spans="1:16" ht="29.25" customHeight="1" x14ac:dyDescent="0.25">
      <c r="B4" s="174" t="s">
        <v>83</v>
      </c>
      <c r="C4" s="175"/>
      <c r="D4" s="176" t="e">
        <f>+INDEX(#REF!,$F$7)</f>
        <v>#REF!</v>
      </c>
      <c r="E4" s="86" t="s">
        <v>40</v>
      </c>
      <c r="F4" s="87">
        <v>40000</v>
      </c>
      <c r="G4" s="88" t="s">
        <v>39</v>
      </c>
      <c r="H4" s="89" t="e">
        <f>+F7/$E$7</f>
        <v>#VALUE!</v>
      </c>
      <c r="I4" s="90" t="s">
        <v>38</v>
      </c>
      <c r="J4" s="91" t="e">
        <f ca="1">+I7/F4</f>
        <v>#REF!</v>
      </c>
    </row>
    <row r="5" spans="1:16" ht="11.25" customHeight="1" x14ac:dyDescent="0.25">
      <c r="B5" s="139"/>
      <c r="C5" s="139"/>
      <c r="D5" s="139"/>
      <c r="E5" s="139"/>
      <c r="F5" s="139"/>
      <c r="G5" s="139"/>
      <c r="H5" s="139"/>
      <c r="I5" s="139"/>
      <c r="J5" s="167"/>
    </row>
    <row r="6" spans="1:16" ht="29.25" customHeight="1" x14ac:dyDescent="0.25">
      <c r="B6" s="92" t="s">
        <v>18</v>
      </c>
      <c r="C6" s="93" t="s">
        <v>6</v>
      </c>
      <c r="D6" s="94" t="s">
        <v>7</v>
      </c>
      <c r="E6" s="95" t="s">
        <v>20</v>
      </c>
      <c r="F6" s="94" t="s">
        <v>17</v>
      </c>
      <c r="G6" s="94" t="s">
        <v>92</v>
      </c>
      <c r="H6" s="96" t="s">
        <v>41</v>
      </c>
      <c r="I6" s="97" t="s">
        <v>42</v>
      </c>
      <c r="J6" s="165" t="s">
        <v>23</v>
      </c>
    </row>
    <row r="7" spans="1:16" ht="25.5" customHeight="1" x14ac:dyDescent="0.25">
      <c r="B7" s="42" t="s">
        <v>22</v>
      </c>
      <c r="C7" s="61">
        <v>45346</v>
      </c>
      <c r="D7" s="61">
        <v>45438</v>
      </c>
      <c r="E7" s="30">
        <f>+D7-C7+1</f>
        <v>93</v>
      </c>
      <c r="F7" s="31" t="e">
        <f>+$N$1-$C$7+1</f>
        <v>#VALUE!</v>
      </c>
      <c r="G7" s="31" t="e">
        <f>+E7-F7</f>
        <v>#VALUE!</v>
      </c>
      <c r="H7" s="61" t="e">
        <f>+TEXT(C7+F7-1,"yy.mm.dd") &amp;TEXT(C7+F7-1," (aaa)")</f>
        <v>#VALUE!</v>
      </c>
      <c r="I7" s="177" t="e">
        <f ca="1">+SUM(OFFSET(#REF!,0,0,일자별요약!$F$7,1))</f>
        <v>#REF!</v>
      </c>
      <c r="J7" s="178" t="e">
        <f ca="1">+I7/F7</f>
        <v>#REF!</v>
      </c>
    </row>
    <row r="8" spans="1:16" ht="25.5" customHeight="1" x14ac:dyDescent="0.25">
      <c r="B8" s="44" t="s">
        <v>30</v>
      </c>
      <c r="C8" s="62">
        <v>45195</v>
      </c>
      <c r="D8" s="62">
        <v>45291</v>
      </c>
      <c r="E8" s="32">
        <f>+D8-C8+1</f>
        <v>97</v>
      </c>
      <c r="F8" s="33" t="e">
        <f>+F7</f>
        <v>#VALUE!</v>
      </c>
      <c r="G8" s="33" t="e">
        <f>+E8-F8</f>
        <v>#VALUE!</v>
      </c>
      <c r="H8" s="62" t="e">
        <f>+TEXT(C8+F8-1,"yy.mm.dd") &amp; " " &amp;TEXT(C8+F8-1,"(aaa)")</f>
        <v>#VALUE!</v>
      </c>
      <c r="I8" s="32" t="e">
        <f ca="1">+SUM(OFFSET(#REF!,0,0,일자별요약!$F$8,1))</f>
        <v>#REF!</v>
      </c>
      <c r="J8" s="68" t="e">
        <f ca="1">+I8/F8</f>
        <v>#REF!</v>
      </c>
    </row>
    <row r="9" spans="1:16" ht="25.5" customHeight="1" x14ac:dyDescent="0.25">
      <c r="B9" s="181" t="s">
        <v>84</v>
      </c>
      <c r="C9" s="182" t="e">
        <f>+#REF!</f>
        <v>#REF!</v>
      </c>
      <c r="D9" s="183" t="e">
        <f>+#REF!</f>
        <v>#REF!</v>
      </c>
      <c r="E9" s="184" t="s">
        <v>71</v>
      </c>
      <c r="F9" s="182" t="e">
        <f>+#REF!</f>
        <v>#REF!</v>
      </c>
      <c r="G9" s="186" t="e">
        <f>+#REF!</f>
        <v>#REF!</v>
      </c>
      <c r="H9" s="185" t="e">
        <f>+#REF!</f>
        <v>#REF!</v>
      </c>
      <c r="I9" s="114" t="e">
        <f ca="1">+I7-I8</f>
        <v>#REF!</v>
      </c>
      <c r="J9" s="166" t="e">
        <f ca="1">+J7-J8</f>
        <v>#REF!</v>
      </c>
      <c r="L9" s="23" t="e">
        <f ca="1">+SUM(C9,F9)=I7</f>
        <v>#REF!</v>
      </c>
    </row>
    <row r="10" spans="1:16" ht="17.25" customHeight="1" x14ac:dyDescent="0.25"/>
    <row r="11" spans="1:16" ht="26.25" customHeight="1" x14ac:dyDescent="0.25">
      <c r="A11" s="127" t="s">
        <v>90</v>
      </c>
    </row>
    <row r="12" spans="1:16" ht="26.25" customHeight="1" x14ac:dyDescent="0.25">
      <c r="A12" s="127"/>
      <c r="B12" s="179" t="s">
        <v>91</v>
      </c>
      <c r="C12" s="179"/>
      <c r="D12" s="179"/>
      <c r="E12" s="180" t="s">
        <v>93</v>
      </c>
      <c r="F12" s="179"/>
      <c r="G12" s="179"/>
      <c r="H12" s="180" t="s">
        <v>89</v>
      </c>
      <c r="I12" s="180"/>
      <c r="J12" s="180"/>
    </row>
    <row r="13" spans="1:16" ht="26.25" customHeight="1" x14ac:dyDescent="0.25">
      <c r="B13" s="171" t="e">
        <f ca="1">+ROUND($J$66+(J9*$E$8),-2)</f>
        <v>#REF!</v>
      </c>
      <c r="C13" s="171"/>
      <c r="D13" s="171"/>
      <c r="E13" s="173" t="e">
        <f ca="1">+ROUND(J7*E7,-2)</f>
        <v>#REF!</v>
      </c>
      <c r="F13" s="172"/>
      <c r="G13" s="172"/>
      <c r="H13" s="173" t="e">
        <f ca="1">+B13-E13</f>
        <v>#REF!</v>
      </c>
      <c r="I13" s="173"/>
      <c r="J13" s="173"/>
      <c r="L13" s="168"/>
      <c r="M13" s="168"/>
    </row>
    <row r="14" spans="1:16" ht="19.5" customHeight="1" x14ac:dyDescent="0.25"/>
    <row r="15" spans="1:16" ht="22.5" customHeight="1" outlineLevel="1" x14ac:dyDescent="0.25">
      <c r="B15" s="60" t="s">
        <v>57</v>
      </c>
    </row>
    <row r="16" spans="1:16" ht="22.5" customHeight="1" outlineLevel="1" x14ac:dyDescent="0.25">
      <c r="B16" s="378" t="s">
        <v>47</v>
      </c>
      <c r="C16" s="372" t="s">
        <v>51</v>
      </c>
      <c r="D16" s="372" t="s">
        <v>52</v>
      </c>
      <c r="E16" s="374" t="s">
        <v>53</v>
      </c>
      <c r="F16" s="63"/>
      <c r="G16" s="374" t="s">
        <v>54</v>
      </c>
      <c r="H16" s="63"/>
      <c r="I16" s="372" t="s">
        <v>60</v>
      </c>
      <c r="J16" s="367" t="s">
        <v>61</v>
      </c>
    </row>
    <row r="17" spans="1:10" ht="22.5" customHeight="1" outlineLevel="1" x14ac:dyDescent="0.25">
      <c r="B17" s="379"/>
      <c r="C17" s="373"/>
      <c r="D17" s="373"/>
      <c r="E17" s="373"/>
      <c r="F17" s="64" t="s">
        <v>55</v>
      </c>
      <c r="G17" s="373"/>
      <c r="H17" s="64" t="s">
        <v>59</v>
      </c>
      <c r="I17" s="373"/>
      <c r="J17" s="368"/>
    </row>
    <row r="18" spans="1:10" ht="21" customHeight="1" outlineLevel="1" x14ac:dyDescent="0.25">
      <c r="B18" s="80" t="s">
        <v>48</v>
      </c>
      <c r="C18" s="74">
        <v>9000</v>
      </c>
      <c r="D18" s="74">
        <v>6141</v>
      </c>
      <c r="E18" s="99">
        <v>620</v>
      </c>
      <c r="F18" s="100">
        <f>+E18/D18*100</f>
        <v>10.096075557726754</v>
      </c>
      <c r="G18" s="74">
        <v>1100</v>
      </c>
      <c r="H18" s="75">
        <f>+G18/(D18-E18)*100</f>
        <v>19.923926824850572</v>
      </c>
      <c r="I18" s="74">
        <f>+D18-E18-G18</f>
        <v>4421</v>
      </c>
      <c r="J18" s="369" t="e">
        <f ca="1">+G22/I7</f>
        <v>#REF!</v>
      </c>
    </row>
    <row r="19" spans="1:10" ht="21" customHeight="1" outlineLevel="1" x14ac:dyDescent="0.25">
      <c r="B19" s="80" t="s">
        <v>58</v>
      </c>
      <c r="C19" s="76">
        <v>9000</v>
      </c>
      <c r="D19" s="76">
        <v>618</v>
      </c>
      <c r="E19" s="101">
        <v>42</v>
      </c>
      <c r="F19" s="102">
        <f t="shared" ref="F19:F22" si="0">+E19/D19*100</f>
        <v>6.7961165048543686</v>
      </c>
      <c r="G19" s="76">
        <v>177</v>
      </c>
      <c r="H19" s="77">
        <f t="shared" ref="H19:H22" si="1">+G19/(D19-E19)*100</f>
        <v>30.729166666666668</v>
      </c>
      <c r="I19" s="76">
        <f t="shared" ref="I19:I21" si="2">+D19-E19-G19</f>
        <v>399</v>
      </c>
      <c r="J19" s="370"/>
    </row>
    <row r="20" spans="1:10" ht="21" customHeight="1" outlineLevel="1" x14ac:dyDescent="0.25">
      <c r="B20" s="80" t="s">
        <v>49</v>
      </c>
      <c r="C20" s="76">
        <v>9000</v>
      </c>
      <c r="D20" s="76">
        <v>2535</v>
      </c>
      <c r="E20" s="101">
        <v>213</v>
      </c>
      <c r="F20" s="102">
        <f t="shared" si="0"/>
        <v>8.4023668639053248</v>
      </c>
      <c r="G20" s="76">
        <v>594</v>
      </c>
      <c r="H20" s="77">
        <f t="shared" si="1"/>
        <v>25.581395348837212</v>
      </c>
      <c r="I20" s="76">
        <f t="shared" si="2"/>
        <v>1728</v>
      </c>
      <c r="J20" s="370"/>
    </row>
    <row r="21" spans="1:10" ht="21" customHeight="1" outlineLevel="1" x14ac:dyDescent="0.25">
      <c r="B21" s="80" t="s">
        <v>50</v>
      </c>
      <c r="C21" s="76">
        <v>9000</v>
      </c>
      <c r="D21" s="76">
        <v>3293</v>
      </c>
      <c r="E21" s="101">
        <v>391</v>
      </c>
      <c r="F21" s="102">
        <f t="shared" si="0"/>
        <v>11.873671424233221</v>
      </c>
      <c r="G21" s="76">
        <v>385</v>
      </c>
      <c r="H21" s="77">
        <f t="shared" si="1"/>
        <v>13.26671261199173</v>
      </c>
      <c r="I21" s="76">
        <f t="shared" si="2"/>
        <v>2517</v>
      </c>
      <c r="J21" s="370"/>
    </row>
    <row r="22" spans="1:10" ht="21" customHeight="1" outlineLevel="1" x14ac:dyDescent="0.25">
      <c r="B22" s="81" t="s">
        <v>56</v>
      </c>
      <c r="C22" s="78">
        <v>9000</v>
      </c>
      <c r="D22" s="78">
        <f>+SUM(D18:D21)</f>
        <v>12587</v>
      </c>
      <c r="E22" s="103">
        <f>+SUM(E18:E21)</f>
        <v>1266</v>
      </c>
      <c r="F22" s="104">
        <f t="shared" si="0"/>
        <v>10.057996345435766</v>
      </c>
      <c r="G22" s="82">
        <f>+SUM(G18:G21)</f>
        <v>2256</v>
      </c>
      <c r="H22" s="79">
        <f t="shared" si="1"/>
        <v>19.927568236021553</v>
      </c>
      <c r="I22" s="82">
        <f>+SUM(I18:I21)</f>
        <v>9065</v>
      </c>
      <c r="J22" s="371"/>
    </row>
    <row r="23" spans="1:10" customFormat="1" ht="14.25" customHeight="1" outlineLevel="1" x14ac:dyDescent="0.25">
      <c r="B23" s="112"/>
      <c r="C23" s="112"/>
      <c r="D23" s="112"/>
      <c r="E23" s="112"/>
      <c r="F23" s="112"/>
      <c r="G23" s="112"/>
      <c r="H23" s="112"/>
      <c r="I23" s="112"/>
      <c r="J23" s="112"/>
    </row>
    <row r="24" spans="1:10" ht="29.25" customHeight="1" thickBot="1" x14ac:dyDescent="0.3">
      <c r="A24" s="127" t="s">
        <v>79</v>
      </c>
    </row>
    <row r="25" spans="1:10" ht="29.25" customHeight="1" x14ac:dyDescent="0.25">
      <c r="B25" s="189" t="s">
        <v>27</v>
      </c>
      <c r="C25" s="206" t="e">
        <f>+F7</f>
        <v>#VALUE!</v>
      </c>
      <c r="D25" s="198" t="e">
        <f>+C25-1</f>
        <v>#VALUE!</v>
      </c>
      <c r="E25" s="188" t="e">
        <f t="shared" ref="E25:I25" si="3">+D25-1</f>
        <v>#VALUE!</v>
      </c>
      <c r="F25" s="188" t="e">
        <f t="shared" si="3"/>
        <v>#VALUE!</v>
      </c>
      <c r="G25" s="188" t="e">
        <f t="shared" si="3"/>
        <v>#VALUE!</v>
      </c>
      <c r="H25" s="188" t="e">
        <f t="shared" si="3"/>
        <v>#VALUE!</v>
      </c>
      <c r="I25" s="188" t="e">
        <f t="shared" si="3"/>
        <v>#VALUE!</v>
      </c>
      <c r="J25" s="105"/>
    </row>
    <row r="26" spans="1:10" ht="22.5" customHeight="1" x14ac:dyDescent="0.25">
      <c r="B26" s="190" t="s">
        <v>67</v>
      </c>
      <c r="C26" s="207" t="str">
        <f>+$N$1</f>
        <v>얼리버드비율</v>
      </c>
      <c r="D26" s="199" t="e">
        <f>+C26-1</f>
        <v>#VALUE!</v>
      </c>
      <c r="E26" s="110" t="e">
        <f>+D26-1</f>
        <v>#VALUE!</v>
      </c>
      <c r="F26" s="110" t="e">
        <f>+E26-1</f>
        <v>#VALUE!</v>
      </c>
      <c r="G26" s="110" t="e">
        <f>+F26-1</f>
        <v>#VALUE!</v>
      </c>
      <c r="H26" s="110" t="e">
        <f>+G26-1</f>
        <v>#VALUE!</v>
      </c>
      <c r="I26" s="110" t="e">
        <f>+H26-1</f>
        <v>#VALUE!</v>
      </c>
      <c r="J26" s="111" t="s">
        <v>88</v>
      </c>
    </row>
    <row r="27" spans="1:10" ht="22.5" customHeight="1" thickBot="1" x14ac:dyDescent="0.3">
      <c r="B27" s="190" t="s">
        <v>68</v>
      </c>
      <c r="C27" s="208" t="str">
        <f>+TEXT(C26,"aaa")</f>
        <v>얼리버드비율</v>
      </c>
      <c r="D27" s="200" t="e">
        <f t="shared" ref="D27:I27" si="4">+TEXT(D26,"aaa")</f>
        <v>#VALUE!</v>
      </c>
      <c r="E27" s="108" t="e">
        <f t="shared" si="4"/>
        <v>#VALUE!</v>
      </c>
      <c r="F27" s="108" t="e">
        <f t="shared" si="4"/>
        <v>#VALUE!</v>
      </c>
      <c r="G27" s="108" t="e">
        <f t="shared" si="4"/>
        <v>#VALUE!</v>
      </c>
      <c r="H27" s="108" t="e">
        <f t="shared" si="4"/>
        <v>#VALUE!</v>
      </c>
      <c r="I27" s="108" t="e">
        <f t="shared" si="4"/>
        <v>#VALUE!</v>
      </c>
      <c r="J27" s="109"/>
    </row>
    <row r="28" spans="1:10" ht="21.75" customHeight="1" thickBot="1" x14ac:dyDescent="0.3">
      <c r="B28" s="191" t="s">
        <v>22</v>
      </c>
      <c r="C28" s="209" t="e">
        <f>+SUMPRODUCT((#REF!)*(#REF!=$B28)*(#REF!=C$25))</f>
        <v>#REF!</v>
      </c>
      <c r="D28" s="201" t="e">
        <f>+SUMPRODUCT((#REF!)*(#REF!=$B28)*(#REF!=D$25))</f>
        <v>#REF!</v>
      </c>
      <c r="E28" s="143" t="e">
        <f>+SUMPRODUCT((#REF!)*(#REF!=$B28)*(#REF!=E$25))</f>
        <v>#REF!</v>
      </c>
      <c r="F28" s="143" t="e">
        <f>+SUMPRODUCT((#REF!)*(#REF!=$B28)*(#REF!=F$25))</f>
        <v>#REF!</v>
      </c>
      <c r="G28" s="143" t="e">
        <f>+SUMPRODUCT((#REF!)*(#REF!=$B28)*(#REF!=G$25))</f>
        <v>#REF!</v>
      </c>
      <c r="H28" s="143" t="e">
        <f>+SUMPRODUCT((#REF!)*(#REF!=$B28)*(#REF!=H$25))</f>
        <v>#REF!</v>
      </c>
      <c r="I28" s="143" t="e">
        <f>+SUMPRODUCT((#REF!)*(#REF!=$B28)*(#REF!=I$25))</f>
        <v>#REF!</v>
      </c>
      <c r="J28" s="144"/>
    </row>
    <row r="29" spans="1:10" ht="21.75" customHeight="1" x14ac:dyDescent="0.25">
      <c r="B29" s="80" t="s">
        <v>30</v>
      </c>
      <c r="C29" s="210" t="e">
        <f>+SUMPRODUCT((#REF!)*(#REF!=$B29)*(#REF!=C$25))</f>
        <v>#REF!</v>
      </c>
      <c r="D29" s="202" t="e">
        <f>+SUMPRODUCT((#REF!)*(#REF!=$B29)*(#REF!=D$25))</f>
        <v>#REF!</v>
      </c>
      <c r="E29" s="28" t="e">
        <f>+SUMPRODUCT((#REF!)*(#REF!=$B29)*(#REF!=E$25))</f>
        <v>#REF!</v>
      </c>
      <c r="F29" s="28" t="e">
        <f>+SUMPRODUCT((#REF!)*(#REF!=$B29)*(#REF!=F$25))</f>
        <v>#REF!</v>
      </c>
      <c r="G29" s="28" t="e">
        <f>+SUMPRODUCT((#REF!)*(#REF!=$B29)*(#REF!=G$25))</f>
        <v>#REF!</v>
      </c>
      <c r="H29" s="28" t="e">
        <f>+SUMPRODUCT((#REF!)*(#REF!=$B29)*(#REF!=H$25))</f>
        <v>#REF!</v>
      </c>
      <c r="I29" s="28" t="e">
        <f>+SUMPRODUCT((#REF!)*(#REF!=$B29)*(#REF!=I$25))</f>
        <v>#REF!</v>
      </c>
      <c r="J29" s="48"/>
    </row>
    <row r="30" spans="1:10" ht="21.75" customHeight="1" x14ac:dyDescent="0.25">
      <c r="B30" s="80" t="s">
        <v>28</v>
      </c>
      <c r="C30" s="210" t="e">
        <f>+SUMPRODUCT((#REF!)*(#REF!=$B30)*(#REF!=C$25))</f>
        <v>#REF!</v>
      </c>
      <c r="D30" s="202" t="e">
        <f>+SUMPRODUCT((#REF!)*(#REF!=$B30)*(#REF!=D$25))</f>
        <v>#REF!</v>
      </c>
      <c r="E30" s="28" t="e">
        <f>+SUMPRODUCT((#REF!)*(#REF!=$B30)*(#REF!=E$25))</f>
        <v>#REF!</v>
      </c>
      <c r="F30" s="28" t="e">
        <f>+SUMPRODUCT((#REF!)*(#REF!=$B30)*(#REF!=F$25))</f>
        <v>#REF!</v>
      </c>
      <c r="G30" s="28" t="e">
        <f>+SUMPRODUCT((#REF!)*(#REF!=$B30)*(#REF!=G$25))</f>
        <v>#REF!</v>
      </c>
      <c r="H30" s="28" t="e">
        <f>+SUMPRODUCT((#REF!)*(#REF!=$B30)*(#REF!=H$25))</f>
        <v>#REF!</v>
      </c>
      <c r="I30" s="28" t="e">
        <f>+SUMPRODUCT((#REF!)*(#REF!=$B30)*(#REF!=I$25))</f>
        <v>#REF!</v>
      </c>
      <c r="J30" s="48"/>
    </row>
    <row r="31" spans="1:10" ht="21.75" customHeight="1" x14ac:dyDescent="0.25">
      <c r="B31" s="80" t="s">
        <v>29</v>
      </c>
      <c r="C31" s="210" t="e">
        <f>+SUMPRODUCT((#REF!)*(#REF!=$B31)*(#REF!=C$25))</f>
        <v>#REF!</v>
      </c>
      <c r="D31" s="202" t="e">
        <f>+SUMPRODUCT((#REF!)*(#REF!=$B31)*(#REF!=D$25))</f>
        <v>#REF!</v>
      </c>
      <c r="E31" s="28" t="e">
        <f>+SUMPRODUCT((#REF!)*(#REF!=$B31)*(#REF!=E$25))</f>
        <v>#REF!</v>
      </c>
      <c r="F31" s="28" t="e">
        <f>+SUMPRODUCT((#REF!)*(#REF!=$B31)*(#REF!=F$25))</f>
        <v>#REF!</v>
      </c>
      <c r="G31" s="28" t="e">
        <f>+SUMPRODUCT((#REF!)*(#REF!=$B31)*(#REF!=G$25))</f>
        <v>#REF!</v>
      </c>
      <c r="H31" s="28" t="e">
        <f>+SUMPRODUCT((#REF!)*(#REF!=$B31)*(#REF!=H$25))</f>
        <v>#REF!</v>
      </c>
      <c r="I31" s="28" t="e">
        <f>+SUMPRODUCT((#REF!)*(#REF!=$B31)*(#REF!=I$25))</f>
        <v>#REF!</v>
      </c>
      <c r="J31" s="48"/>
    </row>
    <row r="32" spans="1:10" ht="21.75" customHeight="1" x14ac:dyDescent="0.25">
      <c r="B32" s="80" t="s">
        <v>31</v>
      </c>
      <c r="C32" s="210" t="e">
        <f>+SUMPRODUCT((#REF!)*(#REF!=$B32)*(#REF!=C$25))</f>
        <v>#REF!</v>
      </c>
      <c r="D32" s="202" t="e">
        <f>+SUMPRODUCT((#REF!)*(#REF!=$B32)*(#REF!=D$25))</f>
        <v>#REF!</v>
      </c>
      <c r="E32" s="28" t="e">
        <f>+SUMPRODUCT((#REF!)*(#REF!=$B32)*(#REF!=E$25))</f>
        <v>#REF!</v>
      </c>
      <c r="F32" s="28" t="e">
        <f>+SUMPRODUCT((#REF!)*(#REF!=$B32)*(#REF!=F$25))</f>
        <v>#REF!</v>
      </c>
      <c r="G32" s="28" t="e">
        <f>+SUMPRODUCT((#REF!)*(#REF!=$B32)*(#REF!=G$25))</f>
        <v>#REF!</v>
      </c>
      <c r="H32" s="28" t="e">
        <f>+SUMPRODUCT((#REF!)*(#REF!=$B32)*(#REF!=H$25))</f>
        <v>#REF!</v>
      </c>
      <c r="I32" s="28" t="e">
        <f>+SUMPRODUCT((#REF!)*(#REF!=$B32)*(#REF!=I$25))</f>
        <v>#REF!</v>
      </c>
      <c r="J32" s="48"/>
    </row>
    <row r="33" spans="1:10" ht="21.75" customHeight="1" x14ac:dyDescent="0.25">
      <c r="B33" s="80" t="s">
        <v>32</v>
      </c>
      <c r="C33" s="210" t="e">
        <f>+SUMPRODUCT((#REF!)*(#REF!=$B33)*(#REF!=C$25))</f>
        <v>#REF!</v>
      </c>
      <c r="D33" s="202" t="e">
        <f>+SUMPRODUCT((#REF!)*(#REF!=$B33)*(#REF!=D$25))</f>
        <v>#REF!</v>
      </c>
      <c r="E33" s="28" t="e">
        <f>+SUMPRODUCT((#REF!)*(#REF!=$B33)*(#REF!=E$25))</f>
        <v>#REF!</v>
      </c>
      <c r="F33" s="28" t="e">
        <f>+SUMPRODUCT((#REF!)*(#REF!=$B33)*(#REF!=F$25))</f>
        <v>#REF!</v>
      </c>
      <c r="G33" s="28" t="e">
        <f>+SUMPRODUCT((#REF!)*(#REF!=$B33)*(#REF!=G$25))</f>
        <v>#REF!</v>
      </c>
      <c r="H33" s="28" t="e">
        <f>+SUMPRODUCT((#REF!)*(#REF!=$B33)*(#REF!=H$25))</f>
        <v>#REF!</v>
      </c>
      <c r="I33" s="28" t="e">
        <f>+SUMPRODUCT((#REF!)*(#REF!=$B33)*(#REF!=I$25))</f>
        <v>#REF!</v>
      </c>
      <c r="J33" s="106"/>
    </row>
    <row r="34" spans="1:10" ht="21.75" customHeight="1" x14ac:dyDescent="0.25">
      <c r="B34" s="192" t="s">
        <v>33</v>
      </c>
      <c r="C34" s="210" t="e">
        <f>+SUMPRODUCT((#REF!)*(#REF!=$B34)*(#REF!=C$25))</f>
        <v>#REF!</v>
      </c>
      <c r="D34" s="202" t="e">
        <f>+SUMPRODUCT((#REF!)*(#REF!=$B34)*(#REF!=D$25))</f>
        <v>#REF!</v>
      </c>
      <c r="E34" s="28" t="e">
        <f>+SUMPRODUCT((#REF!)*(#REF!=$B34)*(#REF!=E$25))</f>
        <v>#REF!</v>
      </c>
      <c r="F34" s="28" t="e">
        <f>+SUMPRODUCT((#REF!)*(#REF!=$B34)*(#REF!=F$25))</f>
        <v>#REF!</v>
      </c>
      <c r="G34" s="28" t="e">
        <f>+SUMPRODUCT((#REF!)*(#REF!=$B34)*(#REF!=G$25))</f>
        <v>#REF!</v>
      </c>
      <c r="H34" s="28" t="e">
        <f>+SUMPRODUCT((#REF!)*(#REF!=$B34)*(#REF!=H$25))</f>
        <v>#REF!</v>
      </c>
      <c r="I34" s="28" t="e">
        <f>+SUMPRODUCT((#REF!)*(#REF!=$B34)*(#REF!=I$25))</f>
        <v>#REF!</v>
      </c>
      <c r="J34" s="106"/>
    </row>
    <row r="35" spans="1:10" ht="21.75" customHeight="1" x14ac:dyDescent="0.25">
      <c r="B35" s="192" t="s">
        <v>34</v>
      </c>
      <c r="C35" s="210" t="e">
        <f>+SUMPRODUCT((#REF!)*(#REF!=$B35)*(#REF!=C$25))</f>
        <v>#REF!</v>
      </c>
      <c r="D35" s="202" t="e">
        <f>+SUMPRODUCT((#REF!)*(#REF!=$B35)*(#REF!=D$25))</f>
        <v>#REF!</v>
      </c>
      <c r="E35" s="28" t="e">
        <f>+SUMPRODUCT((#REF!)*(#REF!=$B35)*(#REF!=E$25))</f>
        <v>#REF!</v>
      </c>
      <c r="F35" s="28" t="e">
        <f>+SUMPRODUCT((#REF!)*(#REF!=$B35)*(#REF!=F$25))</f>
        <v>#REF!</v>
      </c>
      <c r="G35" s="28" t="e">
        <f>+SUMPRODUCT((#REF!)*(#REF!=$B35)*(#REF!=G$25))</f>
        <v>#REF!</v>
      </c>
      <c r="H35" s="28" t="e">
        <f>+SUMPRODUCT((#REF!)*(#REF!=$B35)*(#REF!=H$25))</f>
        <v>#REF!</v>
      </c>
      <c r="I35" s="28" t="e">
        <f>+SUMPRODUCT((#REF!)*(#REF!=$B35)*(#REF!=I$25))</f>
        <v>#REF!</v>
      </c>
      <c r="J35" s="106"/>
    </row>
    <row r="36" spans="1:10" ht="21.75" customHeight="1" x14ac:dyDescent="0.25">
      <c r="B36" s="193" t="s">
        <v>35</v>
      </c>
      <c r="C36" s="210" t="e">
        <f>+SUMPRODUCT((#REF!)*(#REF!=$B36)*(#REF!=C$25))</f>
        <v>#REF!</v>
      </c>
      <c r="D36" s="202" t="e">
        <f>+SUMPRODUCT((#REF!)*(#REF!=$B36)*(#REF!=D$25))</f>
        <v>#REF!</v>
      </c>
      <c r="E36" s="28" t="e">
        <f>+SUMPRODUCT((#REF!)*(#REF!=$B36)*(#REF!=E$25))</f>
        <v>#REF!</v>
      </c>
      <c r="F36" s="28" t="e">
        <f>+SUMPRODUCT((#REF!)*(#REF!=$B36)*(#REF!=F$25))</f>
        <v>#REF!</v>
      </c>
      <c r="G36" s="28" t="e">
        <f>+SUMPRODUCT((#REF!)*(#REF!=$B36)*(#REF!=G$25))</f>
        <v>#REF!</v>
      </c>
      <c r="H36" s="28" t="e">
        <f>+SUMPRODUCT((#REF!)*(#REF!=$B36)*(#REF!=H$25))</f>
        <v>#REF!</v>
      </c>
      <c r="I36" s="28" t="e">
        <f>+SUMPRODUCT((#REF!)*(#REF!=$B36)*(#REF!=I$25))</f>
        <v>#REF!</v>
      </c>
      <c r="J36" s="51"/>
    </row>
    <row r="37" spans="1:10" ht="21.75" customHeight="1" x14ac:dyDescent="0.25">
      <c r="B37" s="194" t="s">
        <v>37</v>
      </c>
      <c r="C37" s="211" t="e">
        <f>+AVERAGE(C29:C36)</f>
        <v>#REF!</v>
      </c>
      <c r="D37" s="203" t="e">
        <f t="shared" ref="D37:I37" si="5">+AVERAGE(D29:D36)</f>
        <v>#REF!</v>
      </c>
      <c r="E37" s="156" t="e">
        <f t="shared" si="5"/>
        <v>#REF!</v>
      </c>
      <c r="F37" s="156" t="e">
        <f t="shared" si="5"/>
        <v>#REF!</v>
      </c>
      <c r="G37" s="156" t="e">
        <f t="shared" si="5"/>
        <v>#REF!</v>
      </c>
      <c r="H37" s="156" t="e">
        <f t="shared" si="5"/>
        <v>#REF!</v>
      </c>
      <c r="I37" s="156" t="e">
        <f t="shared" si="5"/>
        <v>#REF!</v>
      </c>
      <c r="J37" s="48"/>
    </row>
    <row r="38" spans="1:10" ht="21.75" customHeight="1" x14ac:dyDescent="0.25">
      <c r="B38" s="195" t="s">
        <v>62</v>
      </c>
      <c r="C38" s="212" t="e">
        <f>+C28-C37</f>
        <v>#REF!</v>
      </c>
      <c r="D38" s="204" t="e">
        <f t="shared" ref="D38:I38" si="6">+D28-D37</f>
        <v>#REF!</v>
      </c>
      <c r="E38" s="157" t="e">
        <f t="shared" si="6"/>
        <v>#REF!</v>
      </c>
      <c r="F38" s="157" t="e">
        <f t="shared" si="6"/>
        <v>#REF!</v>
      </c>
      <c r="G38" s="157" t="e">
        <f t="shared" si="6"/>
        <v>#REF!</v>
      </c>
      <c r="H38" s="157" t="e">
        <f t="shared" si="6"/>
        <v>#REF!</v>
      </c>
      <c r="I38" s="157" t="e">
        <f t="shared" si="6"/>
        <v>#REF!</v>
      </c>
      <c r="J38" s="158" t="e">
        <f>+AVERAGE(C38:I38)</f>
        <v>#REF!</v>
      </c>
    </row>
    <row r="39" spans="1:10" ht="21.75" customHeight="1" x14ac:dyDescent="0.25">
      <c r="B39" s="196" t="s">
        <v>63</v>
      </c>
      <c r="C39" s="211" t="e">
        <f>+AVERAGE(C35,C34)</f>
        <v>#REF!</v>
      </c>
      <c r="D39" s="203" t="e">
        <f t="shared" ref="D39:I39" si="7">+AVERAGE(D35,D34)</f>
        <v>#REF!</v>
      </c>
      <c r="E39" s="156" t="e">
        <f t="shared" si="7"/>
        <v>#REF!</v>
      </c>
      <c r="F39" s="156" t="e">
        <f t="shared" si="7"/>
        <v>#REF!</v>
      </c>
      <c r="G39" s="156" t="e">
        <f t="shared" si="7"/>
        <v>#REF!</v>
      </c>
      <c r="H39" s="156" t="e">
        <f t="shared" si="7"/>
        <v>#REF!</v>
      </c>
      <c r="I39" s="156" t="e">
        <f t="shared" si="7"/>
        <v>#REF!</v>
      </c>
      <c r="J39" s="48"/>
    </row>
    <row r="40" spans="1:10" ht="21.75" customHeight="1" thickBot="1" x14ac:dyDescent="0.3">
      <c r="B40" s="197" t="s">
        <v>62</v>
      </c>
      <c r="C40" s="213" t="e">
        <f>+C28-C39</f>
        <v>#REF!</v>
      </c>
      <c r="D40" s="205" t="e">
        <f t="shared" ref="D40:I40" si="8">+D28-D39</f>
        <v>#REF!</v>
      </c>
      <c r="E40" s="159" t="e">
        <f t="shared" si="8"/>
        <v>#REF!</v>
      </c>
      <c r="F40" s="159" t="e">
        <f t="shared" si="8"/>
        <v>#REF!</v>
      </c>
      <c r="G40" s="159" t="e">
        <f t="shared" si="8"/>
        <v>#REF!</v>
      </c>
      <c r="H40" s="159" t="e">
        <f t="shared" si="8"/>
        <v>#REF!</v>
      </c>
      <c r="I40" s="159" t="e">
        <f t="shared" si="8"/>
        <v>#REF!</v>
      </c>
      <c r="J40" s="160" t="e">
        <f>+AVERAGE(C40:I40)</f>
        <v>#REF!</v>
      </c>
    </row>
    <row r="41" spans="1:10" ht="21.75" customHeight="1" x14ac:dyDescent="0.25">
      <c r="B41" s="39" t="s">
        <v>66</v>
      </c>
    </row>
    <row r="42" spans="1:10" ht="18" customHeight="1" x14ac:dyDescent="0.25"/>
    <row r="43" spans="1:10" s="39" customFormat="1" ht="25.5" customHeight="1" x14ac:dyDescent="0.25">
      <c r="A43" s="377" t="e">
        <f>+F7</f>
        <v>#VALUE!</v>
      </c>
      <c r="B43" s="377"/>
      <c r="C43" s="377"/>
      <c r="D43" s="377"/>
      <c r="E43" s="377"/>
      <c r="F43" s="377"/>
      <c r="G43" s="377"/>
      <c r="H43" s="377"/>
      <c r="I43" s="377"/>
      <c r="J43" s="150" t="e">
        <f>+F8</f>
        <v>#VALUE!</v>
      </c>
    </row>
    <row r="44" spans="1:10" s="39" customFormat="1" ht="21" customHeight="1" x14ac:dyDescent="0.25">
      <c r="B44" s="41" t="e">
        <f>+#REF!</f>
        <v>#REF!</v>
      </c>
      <c r="C44" s="163" t="e">
        <f>+#REF!</f>
        <v>#REF!</v>
      </c>
      <c r="D44" s="163" t="e">
        <f>+#REF!</f>
        <v>#REF!</v>
      </c>
      <c r="E44" s="29" t="e">
        <f>+#REF!</f>
        <v>#REF!</v>
      </c>
      <c r="F44" s="29" t="e">
        <f>+#REF!</f>
        <v>#REF!</v>
      </c>
      <c r="G44" s="29" t="e">
        <f>+#REF!</f>
        <v>#REF!</v>
      </c>
      <c r="H44" s="29" t="e">
        <f>+#REF!</f>
        <v>#REF!</v>
      </c>
      <c r="I44" s="59" t="e">
        <f>+#REF!</f>
        <v>#REF!</v>
      </c>
      <c r="J44" s="59" t="e">
        <f>+#REF!</f>
        <v>#REF!</v>
      </c>
    </row>
    <row r="45" spans="1:10" s="39" customFormat="1" ht="21" customHeight="1" x14ac:dyDescent="0.25">
      <c r="A45" s="149" t="s">
        <v>69</v>
      </c>
      <c r="B45" s="128" t="e">
        <f>+#REF!</f>
        <v>#REF!</v>
      </c>
      <c r="C45" s="129" t="e">
        <f>+#REF!</f>
        <v>#REF!</v>
      </c>
      <c r="D45" s="129" t="e">
        <f>+#REF!</f>
        <v>#REF!</v>
      </c>
      <c r="E45" s="129" t="e">
        <f>+#REF!</f>
        <v>#REF!</v>
      </c>
      <c r="F45" s="129" t="e">
        <f>+#REF!</f>
        <v>#REF!</v>
      </c>
      <c r="G45" s="129" t="e">
        <f>+#REF!</f>
        <v>#REF!</v>
      </c>
      <c r="H45" s="129" t="e">
        <f>+#REF!</f>
        <v>#REF!</v>
      </c>
      <c r="I45" s="129" t="e">
        <f>+#REF!</f>
        <v>#REF!</v>
      </c>
      <c r="J45" s="130" t="e">
        <f>+#REF!</f>
        <v>#REF!</v>
      </c>
    </row>
    <row r="46" spans="1:10" s="39" customFormat="1" ht="21" customHeight="1" x14ac:dyDescent="0.25">
      <c r="A46" s="138" t="s">
        <v>73</v>
      </c>
      <c r="B46" s="123" t="e">
        <f>+#REF!</f>
        <v>#REF!</v>
      </c>
      <c r="C46" s="124" t="e">
        <f>+#REF!</f>
        <v>#REF!</v>
      </c>
      <c r="D46" s="124" t="e">
        <f>+#REF!</f>
        <v>#REF!</v>
      </c>
      <c r="E46" s="124" t="e">
        <f>+#REF!</f>
        <v>#REF!</v>
      </c>
      <c r="F46" s="124" t="e">
        <f>+#REF!</f>
        <v>#REF!</v>
      </c>
      <c r="G46" s="124" t="e">
        <f>+#REF!</f>
        <v>#REF!</v>
      </c>
      <c r="H46" s="124" t="e">
        <f>+#REF!</f>
        <v>#REF!</v>
      </c>
      <c r="I46" s="124" t="e">
        <f>+#REF!</f>
        <v>#REF!</v>
      </c>
      <c r="J46" s="125" t="e">
        <f>+#REF!</f>
        <v>#REF!</v>
      </c>
    </row>
    <row r="47" spans="1:10" s="39" customFormat="1" ht="21" customHeight="1" x14ac:dyDescent="0.25">
      <c r="A47" s="138" t="s">
        <v>78</v>
      </c>
      <c r="B47" s="154" t="e">
        <f>+RANK(B46,$B$46:$J$46)</f>
        <v>#REF!</v>
      </c>
      <c r="C47" s="155" t="e">
        <f t="shared" ref="C47:J47" si="9">+RANK(C46,$B$46:$J$46)</f>
        <v>#REF!</v>
      </c>
      <c r="D47" s="155" t="e">
        <f t="shared" si="9"/>
        <v>#REF!</v>
      </c>
      <c r="E47" s="155" t="e">
        <f t="shared" si="9"/>
        <v>#REF!</v>
      </c>
      <c r="F47" s="155" t="e">
        <f t="shared" si="9"/>
        <v>#REF!</v>
      </c>
      <c r="G47" s="155" t="e">
        <f t="shared" si="9"/>
        <v>#REF!</v>
      </c>
      <c r="H47" s="155" t="e">
        <f t="shared" si="9"/>
        <v>#REF!</v>
      </c>
      <c r="I47" s="155" t="e">
        <f t="shared" si="9"/>
        <v>#REF!</v>
      </c>
      <c r="J47" s="164" t="e">
        <f t="shared" si="9"/>
        <v>#REF!</v>
      </c>
    </row>
    <row r="48" spans="1:10" s="39" customFormat="1" ht="21" customHeight="1" x14ac:dyDescent="0.25">
      <c r="A48" s="138" t="s">
        <v>74</v>
      </c>
      <c r="B48" s="123" t="e">
        <f>+B46/B45</f>
        <v>#REF!</v>
      </c>
      <c r="C48" s="124" t="e">
        <f t="shared" ref="C48:J48" si="10">+C46/C45</f>
        <v>#REF!</v>
      </c>
      <c r="D48" s="124" t="e">
        <f t="shared" si="10"/>
        <v>#REF!</v>
      </c>
      <c r="E48" s="124" t="e">
        <f t="shared" si="10"/>
        <v>#REF!</v>
      </c>
      <c r="F48" s="124" t="e">
        <f t="shared" si="10"/>
        <v>#REF!</v>
      </c>
      <c r="G48" s="124" t="e">
        <f t="shared" si="10"/>
        <v>#REF!</v>
      </c>
      <c r="H48" s="124" t="e">
        <f t="shared" si="10"/>
        <v>#REF!</v>
      </c>
      <c r="I48" s="124" t="e">
        <f t="shared" si="10"/>
        <v>#REF!</v>
      </c>
      <c r="J48" s="125" t="e">
        <f t="shared" si="10"/>
        <v>#REF!</v>
      </c>
    </row>
    <row r="49" spans="1:10" s="39" customFormat="1" ht="21" customHeight="1" x14ac:dyDescent="0.25">
      <c r="A49" s="138" t="s">
        <v>75</v>
      </c>
      <c r="B49" s="145" t="e">
        <f t="shared" ref="B49:I49" si="11">+$J$48-B48</f>
        <v>#REF!</v>
      </c>
      <c r="C49" s="146" t="e">
        <f t="shared" si="11"/>
        <v>#REF!</v>
      </c>
      <c r="D49" s="146" t="e">
        <f t="shared" si="11"/>
        <v>#REF!</v>
      </c>
      <c r="E49" s="146" t="e">
        <f t="shared" si="11"/>
        <v>#REF!</v>
      </c>
      <c r="F49" s="146" t="e">
        <f t="shared" si="11"/>
        <v>#REF!</v>
      </c>
      <c r="G49" s="146" t="e">
        <f t="shared" si="11"/>
        <v>#REF!</v>
      </c>
      <c r="H49" s="146" t="e">
        <f t="shared" si="11"/>
        <v>#REF!</v>
      </c>
      <c r="I49" s="146" t="e">
        <f t="shared" si="11"/>
        <v>#REF!</v>
      </c>
      <c r="J49" s="126"/>
    </row>
    <row r="50" spans="1:10" s="39" customFormat="1" ht="21" customHeight="1" x14ac:dyDescent="0.25">
      <c r="A50" s="149" t="s">
        <v>70</v>
      </c>
      <c r="B50" s="128" t="e">
        <f>+#REF!</f>
        <v>#REF!</v>
      </c>
      <c r="C50" s="129" t="e">
        <f>+#REF!</f>
        <v>#REF!</v>
      </c>
      <c r="D50" s="129" t="e">
        <f>+#REF!</f>
        <v>#REF!</v>
      </c>
      <c r="E50" s="129" t="e">
        <f>+#REF!</f>
        <v>#REF!</v>
      </c>
      <c r="F50" s="129" t="e">
        <f>+#REF!</f>
        <v>#REF!</v>
      </c>
      <c r="G50" s="129" t="e">
        <f>+#REF!</f>
        <v>#REF!</v>
      </c>
      <c r="H50" s="129" t="e">
        <f>+#REF!</f>
        <v>#REF!</v>
      </c>
      <c r="I50" s="129" t="e">
        <f>+#REF!</f>
        <v>#REF!</v>
      </c>
      <c r="J50" s="130" t="e">
        <f>+#REF!</f>
        <v>#REF!</v>
      </c>
    </row>
    <row r="51" spans="1:10" s="39" customFormat="1" ht="21" customHeight="1" x14ac:dyDescent="0.25">
      <c r="A51" s="138" t="s">
        <v>73</v>
      </c>
      <c r="B51" s="123" t="e">
        <f>+#REF!</f>
        <v>#REF!</v>
      </c>
      <c r="C51" s="124" t="e">
        <f>+#REF!</f>
        <v>#REF!</v>
      </c>
      <c r="D51" s="124" t="e">
        <f>+#REF!</f>
        <v>#REF!</v>
      </c>
      <c r="E51" s="124" t="e">
        <f>+#REF!</f>
        <v>#REF!</v>
      </c>
      <c r="F51" s="124" t="e">
        <f>+#REF!</f>
        <v>#REF!</v>
      </c>
      <c r="G51" s="124" t="e">
        <f>+#REF!</f>
        <v>#REF!</v>
      </c>
      <c r="H51" s="124" t="e">
        <f>+#REF!</f>
        <v>#REF!</v>
      </c>
      <c r="I51" s="124" t="e">
        <f>+#REF!</f>
        <v>#REF!</v>
      </c>
      <c r="J51" s="125" t="e">
        <f>+#REF!</f>
        <v>#REF!</v>
      </c>
    </row>
    <row r="52" spans="1:10" s="39" customFormat="1" ht="21" customHeight="1" x14ac:dyDescent="0.25">
      <c r="A52" s="138" t="s">
        <v>78</v>
      </c>
      <c r="B52" s="154" t="e">
        <f>+RANK(B51,$B$51:$J$51)</f>
        <v>#REF!</v>
      </c>
      <c r="C52" s="155" t="e">
        <f t="shared" ref="C52:J52" si="12">+RANK(C51,$B$51:$J$51)</f>
        <v>#REF!</v>
      </c>
      <c r="D52" s="155" t="e">
        <f t="shared" si="12"/>
        <v>#REF!</v>
      </c>
      <c r="E52" s="155" t="e">
        <f t="shared" si="12"/>
        <v>#REF!</v>
      </c>
      <c r="F52" s="155" t="e">
        <f t="shared" si="12"/>
        <v>#REF!</v>
      </c>
      <c r="G52" s="155" t="e">
        <f t="shared" si="12"/>
        <v>#REF!</v>
      </c>
      <c r="H52" s="155" t="e">
        <f t="shared" si="12"/>
        <v>#REF!</v>
      </c>
      <c r="I52" s="155" t="e">
        <f t="shared" si="12"/>
        <v>#REF!</v>
      </c>
      <c r="J52" s="164" t="e">
        <f t="shared" si="12"/>
        <v>#REF!</v>
      </c>
    </row>
    <row r="53" spans="1:10" ht="21" customHeight="1" x14ac:dyDescent="0.25">
      <c r="A53" s="138" t="s">
        <v>74</v>
      </c>
      <c r="B53" s="123" t="e">
        <f>+B51/B50</f>
        <v>#REF!</v>
      </c>
      <c r="C53" s="124" t="e">
        <f t="shared" ref="C53" si="13">+C51/C50</f>
        <v>#REF!</v>
      </c>
      <c r="D53" s="124" t="e">
        <f t="shared" ref="D53" si="14">+D51/D50</f>
        <v>#REF!</v>
      </c>
      <c r="E53" s="124" t="e">
        <f t="shared" ref="E53" si="15">+E51/E50</f>
        <v>#REF!</v>
      </c>
      <c r="F53" s="124" t="e">
        <f t="shared" ref="F53" si="16">+F51/F50</f>
        <v>#REF!</v>
      </c>
      <c r="G53" s="124" t="e">
        <f t="shared" ref="G53" si="17">+G51/G50</f>
        <v>#REF!</v>
      </c>
      <c r="H53" s="124" t="e">
        <f t="shared" ref="H53" si="18">+H51/H50</f>
        <v>#REF!</v>
      </c>
      <c r="I53" s="124" t="e">
        <f t="shared" ref="I53" si="19">+I51/I50</f>
        <v>#REF!</v>
      </c>
      <c r="J53" s="125" t="e">
        <f t="shared" ref="J53" si="20">+J51/J50</f>
        <v>#REF!</v>
      </c>
    </row>
    <row r="54" spans="1:10" s="39" customFormat="1" ht="21" customHeight="1" x14ac:dyDescent="0.25">
      <c r="A54" s="138" t="s">
        <v>75</v>
      </c>
      <c r="B54" s="147" t="e">
        <f t="shared" ref="B54:I54" si="21">+$J$53-B53</f>
        <v>#REF!</v>
      </c>
      <c r="C54" s="148" t="e">
        <f t="shared" si="21"/>
        <v>#REF!</v>
      </c>
      <c r="D54" s="148" t="e">
        <f t="shared" si="21"/>
        <v>#REF!</v>
      </c>
      <c r="E54" s="148" t="e">
        <f t="shared" si="21"/>
        <v>#REF!</v>
      </c>
      <c r="F54" s="148" t="e">
        <f t="shared" si="21"/>
        <v>#REF!</v>
      </c>
      <c r="G54" s="148" t="e">
        <f t="shared" si="21"/>
        <v>#REF!</v>
      </c>
      <c r="H54" s="148" t="e">
        <f t="shared" si="21"/>
        <v>#REF!</v>
      </c>
      <c r="I54" s="148" t="e">
        <f t="shared" si="21"/>
        <v>#REF!</v>
      </c>
      <c r="J54" s="137"/>
    </row>
    <row r="55" spans="1:10" s="39" customFormat="1" ht="21" customHeight="1" x14ac:dyDescent="0.25">
      <c r="A55" s="138" t="s">
        <v>80</v>
      </c>
      <c r="B55" s="128" t="e">
        <f>+B45+B50</f>
        <v>#REF!</v>
      </c>
      <c r="C55" s="129" t="e">
        <f t="shared" ref="C55:I55" si="22">+C45+C50</f>
        <v>#REF!</v>
      </c>
      <c r="D55" s="129" t="e">
        <f t="shared" si="22"/>
        <v>#REF!</v>
      </c>
      <c r="E55" s="129" t="e">
        <f t="shared" si="22"/>
        <v>#REF!</v>
      </c>
      <c r="F55" s="129" t="e">
        <f t="shared" si="22"/>
        <v>#REF!</v>
      </c>
      <c r="G55" s="129" t="e">
        <f t="shared" si="22"/>
        <v>#REF!</v>
      </c>
      <c r="H55" s="129" t="e">
        <f t="shared" si="22"/>
        <v>#REF!</v>
      </c>
      <c r="I55" s="129" t="e">
        <f t="shared" si="22"/>
        <v>#REF!</v>
      </c>
      <c r="J55" s="130" t="e">
        <f t="shared" ref="J55" si="23">+J45+J50</f>
        <v>#REF!</v>
      </c>
    </row>
    <row r="56" spans="1:10" s="39" customFormat="1" ht="21" customHeight="1" x14ac:dyDescent="0.25">
      <c r="A56" s="138" t="s">
        <v>73</v>
      </c>
      <c r="B56" s="123" t="e">
        <f>+B46+B51</f>
        <v>#REF!</v>
      </c>
      <c r="C56" s="124" t="e">
        <f t="shared" ref="C56:J56" si="24">+C46+C51</f>
        <v>#REF!</v>
      </c>
      <c r="D56" s="124" t="e">
        <f t="shared" si="24"/>
        <v>#REF!</v>
      </c>
      <c r="E56" s="124" t="e">
        <f t="shared" si="24"/>
        <v>#REF!</v>
      </c>
      <c r="F56" s="124" t="e">
        <f t="shared" si="24"/>
        <v>#REF!</v>
      </c>
      <c r="G56" s="124" t="e">
        <f t="shared" si="24"/>
        <v>#REF!</v>
      </c>
      <c r="H56" s="124" t="e">
        <f t="shared" si="24"/>
        <v>#REF!</v>
      </c>
      <c r="I56" s="124" t="e">
        <f t="shared" si="24"/>
        <v>#REF!</v>
      </c>
      <c r="J56" s="125" t="e">
        <f t="shared" si="24"/>
        <v>#REF!</v>
      </c>
    </row>
    <row r="57" spans="1:10" s="39" customFormat="1" ht="21" customHeight="1" x14ac:dyDescent="0.25">
      <c r="A57" s="138" t="s">
        <v>78</v>
      </c>
      <c r="B57" s="154" t="e">
        <f>+RANK(B56,$B$56:$J$56)</f>
        <v>#REF!</v>
      </c>
      <c r="C57" s="155" t="e">
        <f t="shared" ref="C57:J57" si="25">+RANK(C56,$B$56:$J$56)</f>
        <v>#REF!</v>
      </c>
      <c r="D57" s="155" t="e">
        <f t="shared" si="25"/>
        <v>#REF!</v>
      </c>
      <c r="E57" s="155" t="e">
        <f t="shared" si="25"/>
        <v>#REF!</v>
      </c>
      <c r="F57" s="155" t="e">
        <f t="shared" si="25"/>
        <v>#REF!</v>
      </c>
      <c r="G57" s="155" t="e">
        <f t="shared" si="25"/>
        <v>#REF!</v>
      </c>
      <c r="H57" s="155" t="e">
        <f t="shared" si="25"/>
        <v>#REF!</v>
      </c>
      <c r="I57" s="155" t="e">
        <f t="shared" si="25"/>
        <v>#REF!</v>
      </c>
      <c r="J57" s="164" t="e">
        <f t="shared" si="25"/>
        <v>#REF!</v>
      </c>
    </row>
    <row r="58" spans="1:10" ht="21" customHeight="1" x14ac:dyDescent="0.25">
      <c r="A58" s="138" t="s">
        <v>74</v>
      </c>
      <c r="B58" s="123" t="e">
        <f t="shared" ref="B58:J58" si="26">+B56/B55</f>
        <v>#REF!</v>
      </c>
      <c r="C58" s="124" t="e">
        <f t="shared" si="26"/>
        <v>#REF!</v>
      </c>
      <c r="D58" s="124" t="e">
        <f t="shared" si="26"/>
        <v>#REF!</v>
      </c>
      <c r="E58" s="124" t="e">
        <f t="shared" si="26"/>
        <v>#REF!</v>
      </c>
      <c r="F58" s="124" t="e">
        <f t="shared" si="26"/>
        <v>#REF!</v>
      </c>
      <c r="G58" s="124" t="e">
        <f t="shared" si="26"/>
        <v>#REF!</v>
      </c>
      <c r="H58" s="124" t="e">
        <f t="shared" si="26"/>
        <v>#REF!</v>
      </c>
      <c r="I58" s="124" t="e">
        <f t="shared" si="26"/>
        <v>#REF!</v>
      </c>
      <c r="J58" s="125" t="e">
        <f t="shared" si="26"/>
        <v>#REF!</v>
      </c>
    </row>
    <row r="59" spans="1:10" s="39" customFormat="1" ht="21" customHeight="1" x14ac:dyDescent="0.25">
      <c r="A59" s="138" t="s">
        <v>75</v>
      </c>
      <c r="B59" s="147" t="e">
        <f>+$J$58-B58</f>
        <v>#REF!</v>
      </c>
      <c r="C59" s="148" t="e">
        <f t="shared" ref="C59:I59" si="27">+$J$58-C58</f>
        <v>#REF!</v>
      </c>
      <c r="D59" s="148" t="e">
        <f t="shared" si="27"/>
        <v>#REF!</v>
      </c>
      <c r="E59" s="148" t="e">
        <f t="shared" si="27"/>
        <v>#REF!</v>
      </c>
      <c r="F59" s="148" t="e">
        <f t="shared" si="27"/>
        <v>#REF!</v>
      </c>
      <c r="G59" s="148" t="e">
        <f t="shared" si="27"/>
        <v>#REF!</v>
      </c>
      <c r="H59" s="148" t="e">
        <f t="shared" si="27"/>
        <v>#REF!</v>
      </c>
      <c r="I59" s="148" t="e">
        <f t="shared" si="27"/>
        <v>#REF!</v>
      </c>
      <c r="J59" s="153"/>
    </row>
    <row r="60" spans="1:10" s="39" customFormat="1" ht="15" customHeight="1" x14ac:dyDescent="0.25">
      <c r="A60" s="113"/>
      <c r="B60" s="133"/>
      <c r="C60" s="133"/>
      <c r="D60" s="133"/>
      <c r="E60" s="133"/>
      <c r="F60" s="133"/>
      <c r="G60" s="133"/>
      <c r="H60" s="133"/>
      <c r="I60" s="133"/>
      <c r="J60" s="134"/>
    </row>
    <row r="61" spans="1:10" ht="24" customHeight="1" x14ac:dyDescent="0.25">
      <c r="A61" s="127" t="s">
        <v>43</v>
      </c>
      <c r="C61" s="58"/>
      <c r="D61" s="58" t="s">
        <v>44</v>
      </c>
      <c r="E61" s="58" t="s">
        <v>44</v>
      </c>
      <c r="F61" s="58"/>
      <c r="G61" s="58"/>
      <c r="H61" s="58"/>
      <c r="I61" s="58"/>
      <c r="J61" s="58"/>
    </row>
    <row r="62" spans="1:10" ht="22.5" customHeight="1" x14ac:dyDescent="0.25">
      <c r="B62" s="41" t="s">
        <v>18</v>
      </c>
      <c r="C62" s="29" t="e">
        <f>+#REF!</f>
        <v>#REF!</v>
      </c>
      <c r="D62" s="29" t="e">
        <f>+#REF!</f>
        <v>#REF!</v>
      </c>
      <c r="E62" s="29" t="e">
        <f>+#REF!</f>
        <v>#REF!</v>
      </c>
      <c r="F62" s="29" t="e">
        <f>+#REF!</f>
        <v>#REF!</v>
      </c>
      <c r="G62" s="29" t="e">
        <f>+#REF!</f>
        <v>#REF!</v>
      </c>
      <c r="H62" s="29" t="e">
        <f>+#REF!</f>
        <v>#REF!</v>
      </c>
      <c r="I62" s="29" t="e">
        <f>+#REF!</f>
        <v>#REF!</v>
      </c>
      <c r="J62" s="59" t="e">
        <f>+#REF!</f>
        <v>#REF!</v>
      </c>
    </row>
    <row r="63" spans="1:10" ht="22.5" customHeight="1" x14ac:dyDescent="0.25">
      <c r="B63" s="42" t="s">
        <v>6</v>
      </c>
      <c r="C63" s="66" t="e">
        <f>+#REF!</f>
        <v>#REF!</v>
      </c>
      <c r="D63" s="66" t="e">
        <f>+#REF!</f>
        <v>#REF!</v>
      </c>
      <c r="E63" s="66" t="e">
        <f>+#REF!</f>
        <v>#REF!</v>
      </c>
      <c r="F63" s="66" t="e">
        <f>+#REF!</f>
        <v>#REF!</v>
      </c>
      <c r="G63" s="66" t="e">
        <f>+#REF!</f>
        <v>#REF!</v>
      </c>
      <c r="H63" s="66" t="e">
        <f>+#REF!</f>
        <v>#REF!</v>
      </c>
      <c r="I63" s="66" t="e">
        <f>+#REF!</f>
        <v>#REF!</v>
      </c>
      <c r="J63" s="67" t="e">
        <f>+#REF!</f>
        <v>#REF!</v>
      </c>
    </row>
    <row r="64" spans="1:10" ht="22.5" customHeight="1" x14ac:dyDescent="0.25">
      <c r="B64" s="47" t="s">
        <v>7</v>
      </c>
      <c r="C64" s="69" t="e">
        <f>+#REF!</f>
        <v>#REF!</v>
      </c>
      <c r="D64" s="69" t="e">
        <f>+#REF!</f>
        <v>#REF!</v>
      </c>
      <c r="E64" s="69" t="e">
        <f>+#REF!</f>
        <v>#REF!</v>
      </c>
      <c r="F64" s="69" t="e">
        <f>+#REF!</f>
        <v>#REF!</v>
      </c>
      <c r="G64" s="69" t="e">
        <f>+#REF!</f>
        <v>#REF!</v>
      </c>
      <c r="H64" s="69" t="e">
        <f>+#REF!</f>
        <v>#REF!</v>
      </c>
      <c r="I64" s="69" t="e">
        <f>+#REF!</f>
        <v>#REF!</v>
      </c>
      <c r="J64" s="70" t="e">
        <f>+#REF!</f>
        <v>#REF!</v>
      </c>
    </row>
    <row r="65" spans="1:10" ht="22.5" customHeight="1" x14ac:dyDescent="0.25">
      <c r="B65" s="47" t="s">
        <v>9</v>
      </c>
      <c r="C65" s="71" t="e">
        <f>+C64-C63+1</f>
        <v>#REF!</v>
      </c>
      <c r="D65" s="71" t="e">
        <f t="shared" ref="D65:J65" si="28">+D64-D63+1</f>
        <v>#REF!</v>
      </c>
      <c r="E65" s="71" t="e">
        <f t="shared" si="28"/>
        <v>#REF!</v>
      </c>
      <c r="F65" s="71" t="e">
        <f t="shared" si="28"/>
        <v>#REF!</v>
      </c>
      <c r="G65" s="71" t="e">
        <f t="shared" si="28"/>
        <v>#REF!</v>
      </c>
      <c r="H65" s="71" t="e">
        <f t="shared" si="28"/>
        <v>#REF!</v>
      </c>
      <c r="I65" s="71" t="e">
        <f t="shared" si="28"/>
        <v>#REF!</v>
      </c>
      <c r="J65" s="72" t="e">
        <f t="shared" si="28"/>
        <v>#REF!</v>
      </c>
    </row>
    <row r="66" spans="1:10" ht="22.5" customHeight="1" x14ac:dyDescent="0.25">
      <c r="B66" s="47" t="s">
        <v>65</v>
      </c>
      <c r="C66" s="28" t="e">
        <f>+#REF!</f>
        <v>#REF!</v>
      </c>
      <c r="D66" s="28" t="e">
        <f>+#REF!</f>
        <v>#REF!</v>
      </c>
      <c r="E66" s="28" t="e">
        <f>+#REF!</f>
        <v>#REF!</v>
      </c>
      <c r="F66" s="28" t="e">
        <f>+#REF!</f>
        <v>#REF!</v>
      </c>
      <c r="G66" s="28" t="e">
        <f>+#REF!</f>
        <v>#REF!</v>
      </c>
      <c r="H66" s="28" t="e">
        <f>+#REF!</f>
        <v>#REF!</v>
      </c>
      <c r="I66" s="28" t="e">
        <f>+#REF!</f>
        <v>#REF!</v>
      </c>
      <c r="J66" s="48" t="e">
        <f>+#REF!</f>
        <v>#REF!</v>
      </c>
    </row>
    <row r="67" spans="1:10" ht="22.5" customHeight="1" x14ac:dyDescent="0.25">
      <c r="B67" s="44" t="s">
        <v>64</v>
      </c>
      <c r="C67" s="32" t="e">
        <f>+C66/C65</f>
        <v>#REF!</v>
      </c>
      <c r="D67" s="32" t="e">
        <f t="shared" ref="D67:J67" si="29">+D66/D65</f>
        <v>#REF!</v>
      </c>
      <c r="E67" s="32" t="e">
        <f t="shared" si="29"/>
        <v>#REF!</v>
      </c>
      <c r="F67" s="32" t="e">
        <f t="shared" si="29"/>
        <v>#REF!</v>
      </c>
      <c r="G67" s="32" t="e">
        <f t="shared" si="29"/>
        <v>#REF!</v>
      </c>
      <c r="H67" s="32" t="e">
        <f t="shared" si="29"/>
        <v>#REF!</v>
      </c>
      <c r="I67" s="32" t="e">
        <f t="shared" si="29"/>
        <v>#REF!</v>
      </c>
      <c r="J67" s="68" t="e">
        <f t="shared" si="29"/>
        <v>#REF!</v>
      </c>
    </row>
    <row r="68" spans="1:10" s="39" customFormat="1" ht="15.75" customHeight="1" x14ac:dyDescent="0.25">
      <c r="A68" s="39" t="s">
        <v>81</v>
      </c>
      <c r="B68" s="80"/>
      <c r="C68" s="121"/>
      <c r="D68" s="121"/>
      <c r="E68" s="121"/>
      <c r="F68" s="121"/>
      <c r="G68" s="121"/>
      <c r="H68" s="121"/>
      <c r="I68" s="121"/>
      <c r="J68" s="121"/>
    </row>
    <row r="69" spans="1:10" ht="29.25" customHeight="1" x14ac:dyDescent="0.25">
      <c r="A69" s="375" t="e">
        <f>+$F$7</f>
        <v>#VALUE!</v>
      </c>
      <c r="B69" s="375"/>
      <c r="C69" s="375"/>
      <c r="D69" s="375"/>
      <c r="E69" s="375"/>
      <c r="F69" s="375"/>
      <c r="G69" s="375"/>
      <c r="H69" s="375"/>
      <c r="I69" s="375"/>
    </row>
    <row r="89" spans="1:9" ht="29.25" customHeight="1" x14ac:dyDescent="0.25">
      <c r="A89" s="376" t="e">
        <f>+$F$7</f>
        <v>#VALUE!</v>
      </c>
      <c r="B89" s="376"/>
      <c r="C89" s="376"/>
      <c r="D89" s="376"/>
      <c r="E89" s="376"/>
      <c r="F89" s="376"/>
      <c r="G89" s="376"/>
      <c r="H89" s="376"/>
      <c r="I89" s="376"/>
    </row>
  </sheetData>
  <mergeCells count="11">
    <mergeCell ref="A69:I69"/>
    <mergeCell ref="A89:I89"/>
    <mergeCell ref="A43:I43"/>
    <mergeCell ref="B16:B17"/>
    <mergeCell ref="C16:C17"/>
    <mergeCell ref="D16:D17"/>
    <mergeCell ref="J16:J17"/>
    <mergeCell ref="J18:J22"/>
    <mergeCell ref="I16:I17"/>
    <mergeCell ref="G16:G17"/>
    <mergeCell ref="E16:E17"/>
  </mergeCells>
  <phoneticPr fontId="2" type="noConversion"/>
  <conditionalFormatting sqref="C28:I28">
    <cfRule type="aboveAverage" dxfId="25" priority="16"/>
  </conditionalFormatting>
  <conditionalFormatting sqref="C29:I29">
    <cfRule type="aboveAverage" dxfId="24" priority="15"/>
  </conditionalFormatting>
  <conditionalFormatting sqref="C30:I30">
    <cfRule type="aboveAverage" dxfId="23" priority="7"/>
  </conditionalFormatting>
  <conditionalFormatting sqref="C31:I31">
    <cfRule type="aboveAverage" dxfId="22" priority="6"/>
  </conditionalFormatting>
  <conditionalFormatting sqref="C32:I32">
    <cfRule type="aboveAverage" dxfId="21" priority="5"/>
  </conditionalFormatting>
  <conditionalFormatting sqref="C33:I33">
    <cfRule type="aboveAverage" dxfId="20" priority="4"/>
  </conditionalFormatting>
  <conditionalFormatting sqref="C34:I34">
    <cfRule type="aboveAverage" dxfId="19" priority="3"/>
  </conditionalFormatting>
  <conditionalFormatting sqref="C35:I35">
    <cfRule type="aboveAverage" dxfId="18" priority="2"/>
  </conditionalFormatting>
  <conditionalFormatting sqref="C36:I36">
    <cfRule type="aboveAverage" dxfId="17" priority="1"/>
  </conditionalFormatting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64" fitToHeight="2" orientation="portrait" r:id="rId1"/>
  <colBreaks count="1" manualBreakCount="1">
    <brk id="9" max="1048575" man="1"/>
  </colBreaks>
  <drawing r:id="rId2"/>
  <legacy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theme="8" tint="-0.499984740745262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rgb="FFC00000"/>
          <x14:sparklines>
            <x14:sparkline>
              <xm:f>일자별요약!C28:I28</xm:f>
              <xm:sqref>J28</xm:sqref>
            </x14:sparkline>
            <x14:sparkline>
              <xm:f>일자별요약!C29:I29</xm:f>
              <xm:sqref>J29</xm:sqref>
            </x14:sparkline>
            <x14:sparkline>
              <xm:f>일자별요약!C30:I30</xm:f>
              <xm:sqref>J30</xm:sqref>
            </x14:sparkline>
            <x14:sparkline>
              <xm:f>일자별요약!C31:I31</xm:f>
              <xm:sqref>J31</xm:sqref>
            </x14:sparkline>
            <x14:sparkline>
              <xm:f>일자별요약!C32:I32</xm:f>
              <xm:sqref>J32</xm:sqref>
            </x14:sparkline>
            <x14:sparkline>
              <xm:f>일자별요약!C33:I33</xm:f>
              <xm:sqref>J33</xm:sqref>
            </x14:sparkline>
            <x14:sparkline>
              <xm:f>일자별요약!C34:I34</xm:f>
              <xm:sqref>J34</xm:sqref>
            </x14:sparkline>
            <x14:sparkline>
              <xm:f>일자별요약!C35:I35</xm:f>
              <xm:sqref>J35</xm:sqref>
            </x14:sparkline>
            <x14:sparkline>
              <xm:f>일자별요약!C36:I36</xm:f>
              <xm:sqref>J36</xm:sqref>
            </x14:sparkline>
            <x14:sparkline>
              <xm:f>일자별요약!C37:I37</xm:f>
              <xm:sqref>J37</xm:sqref>
            </x14:sparkline>
            <x14:sparkline>
              <xm:f>일자별요약!C39:I39</xm:f>
              <xm:sqref>J39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6:N45"/>
  <sheetViews>
    <sheetView showGridLines="0" workbookViewId="0">
      <selection activeCell="G37" sqref="G37"/>
    </sheetView>
  </sheetViews>
  <sheetFormatPr defaultRowHeight="12.75" x14ac:dyDescent="0.25"/>
  <sheetData>
    <row r="6" spans="1:14" x14ac:dyDescent="0.25">
      <c r="B6" t="s">
        <v>103</v>
      </c>
      <c r="I6" t="s">
        <v>104</v>
      </c>
      <c r="L6" t="s">
        <v>15</v>
      </c>
    </row>
    <row r="7" spans="1:14" x14ac:dyDescent="0.25">
      <c r="B7" t="s">
        <v>3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105</v>
      </c>
      <c r="I7" t="s">
        <v>5</v>
      </c>
      <c r="J7" t="s">
        <v>4</v>
      </c>
      <c r="K7" t="s">
        <v>105</v>
      </c>
      <c r="M7" t="s">
        <v>109</v>
      </c>
      <c r="N7" t="s">
        <v>110</v>
      </c>
    </row>
    <row r="8" spans="1:14" x14ac:dyDescent="0.25">
      <c r="A8" s="226">
        <v>1</v>
      </c>
      <c r="B8" t="e">
        <f>+SUMPRODUCT((#REF!)*(#REF!=$A8)*(#REF!=B$7))</f>
        <v>#REF!</v>
      </c>
      <c r="C8" t="e">
        <f>+SUMPRODUCT((#REF!)*(#REF!=$A8)*(#REF!=C$7))</f>
        <v>#REF!</v>
      </c>
      <c r="D8" t="e">
        <f>+SUMPRODUCT((#REF!)*(#REF!=$A8)*(#REF!=D$7))</f>
        <v>#REF!</v>
      </c>
      <c r="E8" t="e">
        <f>+SUMPRODUCT((#REF!)*(#REF!=$A8)*(#REF!=E$7))</f>
        <v>#REF!</v>
      </c>
      <c r="F8" t="e">
        <f>+SUMPRODUCT((#REF!)*(#REF!=$A8)*(#REF!=F$7))</f>
        <v>#REF!</v>
      </c>
      <c r="G8" t="e">
        <f>+SUMPRODUCT((#REF!)*(#REF!=$A8)*(#REF!=G$7))</f>
        <v>#REF!</v>
      </c>
      <c r="H8" t="e">
        <f>+SUMPRODUCT((#REF!)*(#REF!=$A8)*(#REF!=H$7))</f>
        <v>#REF!</v>
      </c>
      <c r="I8" t="e">
        <f>+SUMPRODUCT((#REF!)*(#REF!=$A8)*(#REF!=I$7))</f>
        <v>#REF!</v>
      </c>
      <c r="J8" t="e">
        <f>+SUMPRODUCT((#REF!)*(#REF!=$A8)*(#REF!=J$7))</f>
        <v>#REF!</v>
      </c>
      <c r="K8" t="e">
        <f>+SUMPRODUCT((#REF!)*(#REF!=$A8)*(#REF!=K$7))</f>
        <v>#REF!</v>
      </c>
      <c r="L8" t="e">
        <f>+SUMPRODUCT((#REF!)*(#REF!=$A8)*(#REF!=L$7))</f>
        <v>#REF!</v>
      </c>
    </row>
    <row r="9" spans="1:14" x14ac:dyDescent="0.25">
      <c r="A9" s="15">
        <f>+A8+1</f>
        <v>2</v>
      </c>
      <c r="B9" s="13" t="e">
        <f>+SUMPRODUCT((#REF!)*(#REF!=$A9)*(#REF!=B$7))</f>
        <v>#REF!</v>
      </c>
      <c r="C9" s="13" t="e">
        <f>+SUMPRODUCT((#REF!)*(#REF!=$A9)*(#REF!=C$7))</f>
        <v>#REF!</v>
      </c>
      <c r="D9" s="13" t="e">
        <f>+SUMPRODUCT((#REF!)*(#REF!=$A9)*(#REF!=D$7))</f>
        <v>#REF!</v>
      </c>
      <c r="E9" s="13" t="e">
        <f>+SUMPRODUCT((#REF!)*(#REF!=$A9)*(#REF!=E$7))</f>
        <v>#REF!</v>
      </c>
      <c r="F9" s="13" t="e">
        <f>+SUMPRODUCT((#REF!)*(#REF!=$A9)*(#REF!=F$7))</f>
        <v>#REF!</v>
      </c>
      <c r="G9" s="13" t="e">
        <f>+SUMPRODUCT((#REF!)*(#REF!=$A9)*(#REF!=G$7))</f>
        <v>#REF!</v>
      </c>
      <c r="H9" s="13" t="e">
        <f>+SUMPRODUCT((#REF!)*(#REF!=$A9)*(#REF!=H$7))</f>
        <v>#REF!</v>
      </c>
      <c r="I9" s="13" t="e">
        <f>+SUMPRODUCT((#REF!)*(#REF!=$A9)*(#REF!=I$7))</f>
        <v>#REF!</v>
      </c>
      <c r="J9" s="13" t="e">
        <f>+SUMPRODUCT((#REF!)*(#REF!=$A9)*(#REF!=J$7))</f>
        <v>#REF!</v>
      </c>
      <c r="K9" s="13" t="e">
        <f>+SUMPRODUCT((#REF!)*(#REF!=$A9)*(#REF!=K$7))</f>
        <v>#REF!</v>
      </c>
      <c r="L9" s="13" t="e">
        <f>+SUMPRODUCT((#REF!)*(#REF!=$A9)*(#REF!=L$7))</f>
        <v>#REF!</v>
      </c>
    </row>
    <row r="10" spans="1:14" x14ac:dyDescent="0.25">
      <c r="A10" s="15">
        <f>+A9+1</f>
        <v>3</v>
      </c>
      <c r="B10" s="13" t="e">
        <f>+SUMPRODUCT((#REF!)*(#REF!=$A10)*(#REF!=B$7))</f>
        <v>#REF!</v>
      </c>
      <c r="C10" s="13" t="e">
        <f>+SUMPRODUCT((#REF!)*(#REF!=$A10)*(#REF!=C$7))</f>
        <v>#REF!</v>
      </c>
      <c r="D10" s="13" t="e">
        <f>+SUMPRODUCT((#REF!)*(#REF!=$A10)*(#REF!=D$7))</f>
        <v>#REF!</v>
      </c>
      <c r="E10" s="13" t="e">
        <f>+SUMPRODUCT((#REF!)*(#REF!=$A10)*(#REF!=E$7))</f>
        <v>#REF!</v>
      </c>
      <c r="F10" s="13" t="e">
        <f>+SUMPRODUCT((#REF!)*(#REF!=$A10)*(#REF!=F$7))</f>
        <v>#REF!</v>
      </c>
      <c r="G10" s="13" t="e">
        <f>+SUMPRODUCT((#REF!)*(#REF!=$A10)*(#REF!=G$7))</f>
        <v>#REF!</v>
      </c>
      <c r="H10" s="13" t="e">
        <f>+SUMPRODUCT((#REF!)*(#REF!=$A10)*(#REF!=H$7))</f>
        <v>#REF!</v>
      </c>
      <c r="I10" s="13" t="e">
        <f>+SUMPRODUCT((#REF!)*(#REF!=$A10)*(#REF!=I$7))</f>
        <v>#REF!</v>
      </c>
      <c r="J10" s="13" t="e">
        <f>+SUMPRODUCT((#REF!)*(#REF!=$A10)*(#REF!=J$7))</f>
        <v>#REF!</v>
      </c>
      <c r="K10" s="13" t="e">
        <f>+SUMPRODUCT((#REF!)*(#REF!=$A10)*(#REF!=K$7))</f>
        <v>#REF!</v>
      </c>
      <c r="L10" s="13" t="e">
        <f>+SUMPRODUCT((#REF!)*(#REF!=$A10)*(#REF!=L$7))</f>
        <v>#REF!</v>
      </c>
    </row>
    <row r="11" spans="1:14" x14ac:dyDescent="0.25">
      <c r="A11" s="15">
        <f>+A10+1</f>
        <v>4</v>
      </c>
      <c r="B11" s="13" t="e">
        <f>+SUMPRODUCT((#REF!)*(#REF!=$A11)*(#REF!=B$7))</f>
        <v>#REF!</v>
      </c>
      <c r="C11" s="13" t="e">
        <f>+SUMPRODUCT((#REF!)*(#REF!=$A11)*(#REF!=C$7))</f>
        <v>#REF!</v>
      </c>
      <c r="D11" s="13" t="e">
        <f>+SUMPRODUCT((#REF!)*(#REF!=$A11)*(#REF!=D$7))</f>
        <v>#REF!</v>
      </c>
      <c r="E11" s="13" t="e">
        <f>+SUMPRODUCT((#REF!)*(#REF!=$A11)*(#REF!=E$7))</f>
        <v>#REF!</v>
      </c>
      <c r="F11" s="13" t="e">
        <f>+SUMPRODUCT((#REF!)*(#REF!=$A11)*(#REF!=F$7))</f>
        <v>#REF!</v>
      </c>
      <c r="G11" s="13" t="e">
        <f>+SUMPRODUCT((#REF!)*(#REF!=$A11)*(#REF!=G$7))</f>
        <v>#REF!</v>
      </c>
      <c r="H11" s="13" t="e">
        <f>+SUMPRODUCT((#REF!)*(#REF!=$A11)*(#REF!=H$7))</f>
        <v>#REF!</v>
      </c>
      <c r="I11" s="13" t="e">
        <f>+SUMPRODUCT((#REF!)*(#REF!=$A11)*(#REF!=I$7))</f>
        <v>#REF!</v>
      </c>
      <c r="J11" s="13" t="e">
        <f>+SUMPRODUCT((#REF!)*(#REF!=$A11)*(#REF!=J$7))</f>
        <v>#REF!</v>
      </c>
      <c r="K11" s="13" t="e">
        <f>+SUMPRODUCT((#REF!)*(#REF!=$A11)*(#REF!=K$7))</f>
        <v>#REF!</v>
      </c>
      <c r="L11" s="13" t="e">
        <f>+SUMPRODUCT((#REF!)*(#REF!=$A11)*(#REF!=L$7))</f>
        <v>#REF!</v>
      </c>
    </row>
    <row r="12" spans="1:14" x14ac:dyDescent="0.25">
      <c r="A12" s="15">
        <f t="shared" ref="A12:A27" si="0">+A11+1</f>
        <v>5</v>
      </c>
      <c r="B12" s="13" t="e">
        <f>+SUMPRODUCT((#REF!)*(#REF!=$A12)*(#REF!=B$7))</f>
        <v>#REF!</v>
      </c>
      <c r="C12" s="13" t="e">
        <f>+SUMPRODUCT((#REF!)*(#REF!=$A12)*(#REF!=C$7))</f>
        <v>#REF!</v>
      </c>
      <c r="D12" s="13" t="e">
        <f>+SUMPRODUCT((#REF!)*(#REF!=$A12)*(#REF!=D$7))</f>
        <v>#REF!</v>
      </c>
      <c r="E12" s="13" t="e">
        <f>+SUMPRODUCT((#REF!)*(#REF!=$A12)*(#REF!=E$7))</f>
        <v>#REF!</v>
      </c>
      <c r="F12" s="13" t="e">
        <f>+SUMPRODUCT((#REF!)*(#REF!=$A12)*(#REF!=F$7))</f>
        <v>#REF!</v>
      </c>
      <c r="G12" s="13" t="e">
        <f>+SUMPRODUCT((#REF!)*(#REF!=$A12)*(#REF!=G$7))</f>
        <v>#REF!</v>
      </c>
      <c r="H12" s="13" t="e">
        <f>+SUMPRODUCT((#REF!)*(#REF!=$A12)*(#REF!=H$7))</f>
        <v>#REF!</v>
      </c>
      <c r="I12" s="13" t="e">
        <f>+SUMPRODUCT((#REF!)*(#REF!=$A12)*(#REF!=I$7))</f>
        <v>#REF!</v>
      </c>
      <c r="J12" s="13" t="e">
        <f>+SUMPRODUCT((#REF!)*(#REF!=$A12)*(#REF!=J$7))</f>
        <v>#REF!</v>
      </c>
      <c r="K12" s="13" t="e">
        <f>+SUMPRODUCT((#REF!)*(#REF!=$A12)*(#REF!=K$7))</f>
        <v>#REF!</v>
      </c>
      <c r="L12" s="13" t="e">
        <f>+SUMPRODUCT((#REF!)*(#REF!=$A12)*(#REF!=L$7))</f>
        <v>#REF!</v>
      </c>
    </row>
    <row r="13" spans="1:14" x14ac:dyDescent="0.25">
      <c r="A13" s="15">
        <f t="shared" si="0"/>
        <v>6</v>
      </c>
      <c r="B13" s="13" t="e">
        <f>+SUMPRODUCT((#REF!)*(#REF!=$A13)*(#REF!=B$7))</f>
        <v>#REF!</v>
      </c>
      <c r="C13" s="13" t="e">
        <f>+SUMPRODUCT((#REF!)*(#REF!=$A13)*(#REF!=C$7))</f>
        <v>#REF!</v>
      </c>
      <c r="D13" s="13" t="e">
        <f>+SUMPRODUCT((#REF!)*(#REF!=$A13)*(#REF!=D$7))</f>
        <v>#REF!</v>
      </c>
      <c r="E13" s="13" t="e">
        <f>+SUMPRODUCT((#REF!)*(#REF!=$A13)*(#REF!=E$7))</f>
        <v>#REF!</v>
      </c>
      <c r="F13" s="13" t="e">
        <f>+SUMPRODUCT((#REF!)*(#REF!=$A13)*(#REF!=F$7))</f>
        <v>#REF!</v>
      </c>
      <c r="G13" s="13" t="e">
        <f>+SUMPRODUCT((#REF!)*(#REF!=$A13)*(#REF!=G$7))</f>
        <v>#REF!</v>
      </c>
      <c r="H13" s="13" t="e">
        <f>+SUMPRODUCT((#REF!)*(#REF!=$A13)*(#REF!=H$7))</f>
        <v>#REF!</v>
      </c>
      <c r="I13" s="13" t="e">
        <f>+SUMPRODUCT((#REF!)*(#REF!=$A13)*(#REF!=I$7))</f>
        <v>#REF!</v>
      </c>
      <c r="J13" s="13" t="e">
        <f>+SUMPRODUCT((#REF!)*(#REF!=$A13)*(#REF!=J$7))</f>
        <v>#REF!</v>
      </c>
      <c r="K13" s="13" t="e">
        <f>+SUMPRODUCT((#REF!)*(#REF!=$A13)*(#REF!=K$7))</f>
        <v>#REF!</v>
      </c>
      <c r="L13" s="13" t="e">
        <f>+SUMPRODUCT((#REF!)*(#REF!=$A13)*(#REF!=L$7))</f>
        <v>#REF!</v>
      </c>
    </row>
    <row r="14" spans="1:14" x14ac:dyDescent="0.25">
      <c r="A14" s="15">
        <f t="shared" si="0"/>
        <v>7</v>
      </c>
      <c r="B14" s="13" t="e">
        <f>+SUMPRODUCT((#REF!)*(#REF!=$A14)*(#REF!=B$7))</f>
        <v>#REF!</v>
      </c>
      <c r="C14" s="13" t="e">
        <f>+SUMPRODUCT((#REF!)*(#REF!=$A14)*(#REF!=C$7))</f>
        <v>#REF!</v>
      </c>
      <c r="D14" s="13" t="e">
        <f>+SUMPRODUCT((#REF!)*(#REF!=$A14)*(#REF!=D$7))</f>
        <v>#REF!</v>
      </c>
      <c r="E14" s="13" t="e">
        <f>+SUMPRODUCT((#REF!)*(#REF!=$A14)*(#REF!=E$7))</f>
        <v>#REF!</v>
      </c>
      <c r="F14" s="13" t="e">
        <f>+SUMPRODUCT((#REF!)*(#REF!=$A14)*(#REF!=F$7))</f>
        <v>#REF!</v>
      </c>
      <c r="G14" s="13" t="e">
        <f>+SUMPRODUCT((#REF!)*(#REF!=$A14)*(#REF!=G$7))</f>
        <v>#REF!</v>
      </c>
      <c r="H14" s="13" t="e">
        <f>+SUMPRODUCT((#REF!)*(#REF!=$A14)*(#REF!=H$7))</f>
        <v>#REF!</v>
      </c>
      <c r="I14" s="13" t="e">
        <f>+SUMPRODUCT((#REF!)*(#REF!=$A14)*(#REF!=I$7))</f>
        <v>#REF!</v>
      </c>
      <c r="J14" s="13" t="e">
        <f>+SUMPRODUCT((#REF!)*(#REF!=$A14)*(#REF!=J$7))</f>
        <v>#REF!</v>
      </c>
      <c r="K14" s="13" t="e">
        <f>+SUMPRODUCT((#REF!)*(#REF!=$A14)*(#REF!=K$7))</f>
        <v>#REF!</v>
      </c>
      <c r="L14" s="13" t="e">
        <f>+SUMPRODUCT((#REF!)*(#REF!=$A14)*(#REF!=L$7))</f>
        <v>#REF!</v>
      </c>
    </row>
    <row r="15" spans="1:14" x14ac:dyDescent="0.25">
      <c r="A15" s="15">
        <f t="shared" si="0"/>
        <v>8</v>
      </c>
      <c r="B15" s="13" t="e">
        <f>+SUMPRODUCT((#REF!)*(#REF!=$A15)*(#REF!=B$7))</f>
        <v>#REF!</v>
      </c>
      <c r="C15" s="13" t="e">
        <f>+SUMPRODUCT((#REF!)*(#REF!=$A15)*(#REF!=C$7))</f>
        <v>#REF!</v>
      </c>
      <c r="D15" s="13" t="e">
        <f>+SUMPRODUCT((#REF!)*(#REF!=$A15)*(#REF!=D$7))</f>
        <v>#REF!</v>
      </c>
      <c r="E15" s="13" t="e">
        <f>+SUMPRODUCT((#REF!)*(#REF!=$A15)*(#REF!=E$7))</f>
        <v>#REF!</v>
      </c>
      <c r="F15" s="13" t="e">
        <f>+SUMPRODUCT((#REF!)*(#REF!=$A15)*(#REF!=F$7))</f>
        <v>#REF!</v>
      </c>
      <c r="G15" s="13" t="e">
        <f>+SUMPRODUCT((#REF!)*(#REF!=$A15)*(#REF!=G$7))</f>
        <v>#REF!</v>
      </c>
      <c r="H15" s="13" t="e">
        <f>+SUMPRODUCT((#REF!)*(#REF!=$A15)*(#REF!=H$7))</f>
        <v>#REF!</v>
      </c>
      <c r="I15" s="13" t="e">
        <f>+SUMPRODUCT((#REF!)*(#REF!=$A15)*(#REF!=I$7))</f>
        <v>#REF!</v>
      </c>
      <c r="J15" s="13" t="e">
        <f>+SUMPRODUCT((#REF!)*(#REF!=$A15)*(#REF!=J$7))</f>
        <v>#REF!</v>
      </c>
      <c r="K15" s="13" t="e">
        <f>+SUMPRODUCT((#REF!)*(#REF!=$A15)*(#REF!=K$7))</f>
        <v>#REF!</v>
      </c>
      <c r="L15" s="13" t="e">
        <f>+SUMPRODUCT((#REF!)*(#REF!=$A15)*(#REF!=L$7))</f>
        <v>#REF!</v>
      </c>
    </row>
    <row r="16" spans="1:14" x14ac:dyDescent="0.25">
      <c r="A16" s="15">
        <f t="shared" si="0"/>
        <v>9</v>
      </c>
      <c r="B16" s="13" t="e">
        <f>+SUMPRODUCT((#REF!)*(#REF!=$A16)*(#REF!=B$7))</f>
        <v>#REF!</v>
      </c>
      <c r="C16" s="13" t="e">
        <f>+SUMPRODUCT((#REF!)*(#REF!=$A16)*(#REF!=C$7))</f>
        <v>#REF!</v>
      </c>
      <c r="D16" s="13" t="e">
        <f>+SUMPRODUCT((#REF!)*(#REF!=$A16)*(#REF!=D$7))</f>
        <v>#REF!</v>
      </c>
      <c r="E16" s="13" t="e">
        <f>+SUMPRODUCT((#REF!)*(#REF!=$A16)*(#REF!=E$7))</f>
        <v>#REF!</v>
      </c>
      <c r="F16" s="13" t="e">
        <f>+SUMPRODUCT((#REF!)*(#REF!=$A16)*(#REF!=F$7))</f>
        <v>#REF!</v>
      </c>
      <c r="G16" s="13" t="e">
        <f>+SUMPRODUCT((#REF!)*(#REF!=$A16)*(#REF!=G$7))</f>
        <v>#REF!</v>
      </c>
      <c r="H16" s="13" t="e">
        <f>+SUMPRODUCT((#REF!)*(#REF!=$A16)*(#REF!=H$7))</f>
        <v>#REF!</v>
      </c>
      <c r="I16" s="13" t="e">
        <f>+SUMPRODUCT((#REF!)*(#REF!=$A16)*(#REF!=I$7))</f>
        <v>#REF!</v>
      </c>
      <c r="J16" s="13" t="e">
        <f>+SUMPRODUCT((#REF!)*(#REF!=$A16)*(#REF!=J$7))</f>
        <v>#REF!</v>
      </c>
      <c r="K16" s="13" t="e">
        <f>+SUMPRODUCT((#REF!)*(#REF!=$A16)*(#REF!=K$7))</f>
        <v>#REF!</v>
      </c>
      <c r="L16" s="13" t="e">
        <f>+SUMPRODUCT((#REF!)*(#REF!=$A16)*(#REF!=L$7))</f>
        <v>#REF!</v>
      </c>
    </row>
    <row r="17" spans="1:12" x14ac:dyDescent="0.25">
      <c r="A17" s="15">
        <f t="shared" si="0"/>
        <v>10</v>
      </c>
      <c r="B17" s="13" t="e">
        <f>+SUMPRODUCT((#REF!)*(#REF!=$A17)*(#REF!=B$7))</f>
        <v>#REF!</v>
      </c>
      <c r="C17" s="13" t="e">
        <f>+SUMPRODUCT((#REF!)*(#REF!=$A17)*(#REF!=C$7))</f>
        <v>#REF!</v>
      </c>
      <c r="D17" s="13" t="e">
        <f>+SUMPRODUCT((#REF!)*(#REF!=$A17)*(#REF!=D$7))</f>
        <v>#REF!</v>
      </c>
      <c r="E17" s="13" t="e">
        <f>+SUMPRODUCT((#REF!)*(#REF!=$A17)*(#REF!=E$7))</f>
        <v>#REF!</v>
      </c>
      <c r="F17" s="13" t="e">
        <f>+SUMPRODUCT((#REF!)*(#REF!=$A17)*(#REF!=F$7))</f>
        <v>#REF!</v>
      </c>
      <c r="G17" s="13" t="e">
        <f>+SUMPRODUCT((#REF!)*(#REF!=$A17)*(#REF!=G$7))</f>
        <v>#REF!</v>
      </c>
      <c r="H17" s="13" t="e">
        <f>+SUMPRODUCT((#REF!)*(#REF!=$A17)*(#REF!=H$7))</f>
        <v>#REF!</v>
      </c>
      <c r="I17" s="13" t="e">
        <f>+SUMPRODUCT((#REF!)*(#REF!=$A17)*(#REF!=I$7))</f>
        <v>#REF!</v>
      </c>
      <c r="J17" s="13" t="e">
        <f>+SUMPRODUCT((#REF!)*(#REF!=$A17)*(#REF!=J$7))</f>
        <v>#REF!</v>
      </c>
      <c r="K17" s="13" t="e">
        <f>+SUMPRODUCT((#REF!)*(#REF!=$A17)*(#REF!=K$7))</f>
        <v>#REF!</v>
      </c>
      <c r="L17" s="13" t="e">
        <f>+SUMPRODUCT((#REF!)*(#REF!=$A17)*(#REF!=L$7))</f>
        <v>#REF!</v>
      </c>
    </row>
    <row r="18" spans="1:12" x14ac:dyDescent="0.25">
      <c r="A18" s="15">
        <f t="shared" si="0"/>
        <v>11</v>
      </c>
      <c r="B18" s="13" t="e">
        <f>+SUMPRODUCT((#REF!)*(#REF!=$A18)*(#REF!=B$7))</f>
        <v>#REF!</v>
      </c>
      <c r="C18" s="13" t="e">
        <f>+SUMPRODUCT((#REF!)*(#REF!=$A18)*(#REF!=C$7))</f>
        <v>#REF!</v>
      </c>
      <c r="D18" s="13" t="e">
        <f>+SUMPRODUCT((#REF!)*(#REF!=$A18)*(#REF!=D$7))</f>
        <v>#REF!</v>
      </c>
      <c r="E18" s="13" t="e">
        <f>+SUMPRODUCT((#REF!)*(#REF!=$A18)*(#REF!=E$7))</f>
        <v>#REF!</v>
      </c>
      <c r="F18" s="13" t="e">
        <f>+SUMPRODUCT((#REF!)*(#REF!=$A18)*(#REF!=F$7))</f>
        <v>#REF!</v>
      </c>
      <c r="G18" s="13" t="e">
        <f>+SUMPRODUCT((#REF!)*(#REF!=$A18)*(#REF!=G$7))</f>
        <v>#REF!</v>
      </c>
      <c r="H18" s="13" t="e">
        <f>+SUMPRODUCT((#REF!)*(#REF!=$A18)*(#REF!=H$7))</f>
        <v>#REF!</v>
      </c>
      <c r="I18" s="13" t="e">
        <f>+SUMPRODUCT((#REF!)*(#REF!=$A18)*(#REF!=I$7))</f>
        <v>#REF!</v>
      </c>
      <c r="J18" s="13" t="e">
        <f>+SUMPRODUCT((#REF!)*(#REF!=$A18)*(#REF!=J$7))</f>
        <v>#REF!</v>
      </c>
      <c r="K18" s="13" t="e">
        <f>+SUMPRODUCT((#REF!)*(#REF!=$A18)*(#REF!=K$7))</f>
        <v>#REF!</v>
      </c>
      <c r="L18" s="13" t="e">
        <f>+SUMPRODUCT((#REF!)*(#REF!=$A18)*(#REF!=L$7))</f>
        <v>#REF!</v>
      </c>
    </row>
    <row r="19" spans="1:12" x14ac:dyDescent="0.25">
      <c r="A19" s="15">
        <f t="shared" si="0"/>
        <v>12</v>
      </c>
      <c r="B19" s="13" t="e">
        <f>+SUMPRODUCT((#REF!)*(#REF!=$A19)*(#REF!=B$7))</f>
        <v>#REF!</v>
      </c>
      <c r="C19" s="13" t="e">
        <f>+SUMPRODUCT((#REF!)*(#REF!=$A19)*(#REF!=C$7))</f>
        <v>#REF!</v>
      </c>
      <c r="D19" s="13" t="e">
        <f>+SUMPRODUCT((#REF!)*(#REF!=$A19)*(#REF!=D$7))</f>
        <v>#REF!</v>
      </c>
      <c r="E19" s="13" t="e">
        <f>+SUMPRODUCT((#REF!)*(#REF!=$A19)*(#REF!=E$7))</f>
        <v>#REF!</v>
      </c>
      <c r="F19" s="13" t="e">
        <f>+SUMPRODUCT((#REF!)*(#REF!=$A19)*(#REF!=F$7))</f>
        <v>#REF!</v>
      </c>
      <c r="G19" s="13" t="e">
        <f>+SUMPRODUCT((#REF!)*(#REF!=$A19)*(#REF!=G$7))</f>
        <v>#REF!</v>
      </c>
      <c r="H19" s="13" t="e">
        <f>+SUMPRODUCT((#REF!)*(#REF!=$A19)*(#REF!=H$7))</f>
        <v>#REF!</v>
      </c>
      <c r="I19" s="13" t="e">
        <f>+SUMPRODUCT((#REF!)*(#REF!=$A19)*(#REF!=I$7))</f>
        <v>#REF!</v>
      </c>
      <c r="J19" s="13" t="e">
        <f>+SUMPRODUCT((#REF!)*(#REF!=$A19)*(#REF!=J$7))</f>
        <v>#REF!</v>
      </c>
      <c r="K19" s="13" t="e">
        <f>+SUMPRODUCT((#REF!)*(#REF!=$A19)*(#REF!=K$7))</f>
        <v>#REF!</v>
      </c>
      <c r="L19" s="13" t="e">
        <f>+SUMPRODUCT((#REF!)*(#REF!=$A19)*(#REF!=L$7))</f>
        <v>#REF!</v>
      </c>
    </row>
    <row r="20" spans="1:12" x14ac:dyDescent="0.25">
      <c r="A20" s="15">
        <f t="shared" si="0"/>
        <v>13</v>
      </c>
      <c r="B20" s="13" t="e">
        <f>+SUMPRODUCT((#REF!)*(#REF!=$A20)*(#REF!=B$7))</f>
        <v>#REF!</v>
      </c>
      <c r="C20" s="13" t="e">
        <f>+SUMPRODUCT((#REF!)*(#REF!=$A20)*(#REF!=C$7))</f>
        <v>#REF!</v>
      </c>
      <c r="D20" s="13" t="e">
        <f>+SUMPRODUCT((#REF!)*(#REF!=$A20)*(#REF!=D$7))</f>
        <v>#REF!</v>
      </c>
      <c r="E20" s="13" t="e">
        <f>+SUMPRODUCT((#REF!)*(#REF!=$A20)*(#REF!=E$7))</f>
        <v>#REF!</v>
      </c>
      <c r="F20" s="13" t="e">
        <f>+SUMPRODUCT((#REF!)*(#REF!=$A20)*(#REF!=F$7))</f>
        <v>#REF!</v>
      </c>
      <c r="G20" s="13" t="e">
        <f>+SUMPRODUCT((#REF!)*(#REF!=$A20)*(#REF!=G$7))</f>
        <v>#REF!</v>
      </c>
      <c r="H20" s="13" t="e">
        <f>+SUMPRODUCT((#REF!)*(#REF!=$A20)*(#REF!=H$7))</f>
        <v>#REF!</v>
      </c>
      <c r="I20" s="13" t="e">
        <f>+SUMPRODUCT((#REF!)*(#REF!=$A20)*(#REF!=I$7))</f>
        <v>#REF!</v>
      </c>
      <c r="J20" s="13" t="e">
        <f>+SUMPRODUCT((#REF!)*(#REF!=$A20)*(#REF!=J$7))</f>
        <v>#REF!</v>
      </c>
      <c r="K20" s="13" t="e">
        <f>+SUMPRODUCT((#REF!)*(#REF!=$A20)*(#REF!=K$7))</f>
        <v>#REF!</v>
      </c>
      <c r="L20" s="13" t="e">
        <f>+SUMPRODUCT((#REF!)*(#REF!=$A20)*(#REF!=L$7))</f>
        <v>#REF!</v>
      </c>
    </row>
    <row r="21" spans="1:12" x14ac:dyDescent="0.25">
      <c r="A21" s="15">
        <f t="shared" si="0"/>
        <v>14</v>
      </c>
      <c r="B21" s="13" t="e">
        <f>+SUMPRODUCT((#REF!)*(#REF!=$A21)*(#REF!=B$7))</f>
        <v>#REF!</v>
      </c>
      <c r="C21" s="13" t="e">
        <f>+SUMPRODUCT((#REF!)*(#REF!=$A21)*(#REF!=C$7))</f>
        <v>#REF!</v>
      </c>
      <c r="D21" s="13" t="e">
        <f>+SUMPRODUCT((#REF!)*(#REF!=$A21)*(#REF!=D$7))</f>
        <v>#REF!</v>
      </c>
      <c r="E21" s="13" t="e">
        <f>+SUMPRODUCT((#REF!)*(#REF!=$A21)*(#REF!=E$7))</f>
        <v>#REF!</v>
      </c>
      <c r="F21" s="13" t="e">
        <f>+SUMPRODUCT((#REF!)*(#REF!=$A21)*(#REF!=F$7))</f>
        <v>#REF!</v>
      </c>
      <c r="G21" s="13" t="e">
        <f>+SUMPRODUCT((#REF!)*(#REF!=$A21)*(#REF!=G$7))</f>
        <v>#REF!</v>
      </c>
      <c r="H21" s="13" t="e">
        <f>+SUMPRODUCT((#REF!)*(#REF!=$A21)*(#REF!=H$7))</f>
        <v>#REF!</v>
      </c>
      <c r="I21" s="13" t="e">
        <f>+SUMPRODUCT((#REF!)*(#REF!=$A21)*(#REF!=I$7))</f>
        <v>#REF!</v>
      </c>
      <c r="J21" s="13" t="e">
        <f>+SUMPRODUCT((#REF!)*(#REF!=$A21)*(#REF!=J$7))</f>
        <v>#REF!</v>
      </c>
      <c r="K21" s="13" t="e">
        <f>+SUMPRODUCT((#REF!)*(#REF!=$A21)*(#REF!=K$7))</f>
        <v>#REF!</v>
      </c>
      <c r="L21" s="13" t="e">
        <f>+SUMPRODUCT((#REF!)*(#REF!=$A21)*(#REF!=L$7))</f>
        <v>#REF!</v>
      </c>
    </row>
    <row r="22" spans="1:12" x14ac:dyDescent="0.25">
      <c r="A22" s="15">
        <f t="shared" si="0"/>
        <v>15</v>
      </c>
      <c r="B22" s="13" t="e">
        <f>+SUMPRODUCT((#REF!)*(#REF!=$A22)*(#REF!=B$7))</f>
        <v>#REF!</v>
      </c>
      <c r="C22" s="13" t="e">
        <f>+SUMPRODUCT((#REF!)*(#REF!=$A22)*(#REF!=C$7))</f>
        <v>#REF!</v>
      </c>
      <c r="D22" s="13" t="e">
        <f>+SUMPRODUCT((#REF!)*(#REF!=$A22)*(#REF!=D$7))</f>
        <v>#REF!</v>
      </c>
      <c r="E22" s="13" t="e">
        <f>+SUMPRODUCT((#REF!)*(#REF!=$A22)*(#REF!=E$7))</f>
        <v>#REF!</v>
      </c>
      <c r="F22" s="13" t="e">
        <f>+SUMPRODUCT((#REF!)*(#REF!=$A22)*(#REF!=F$7))</f>
        <v>#REF!</v>
      </c>
      <c r="G22" s="13" t="e">
        <f>+SUMPRODUCT((#REF!)*(#REF!=$A22)*(#REF!=G$7))</f>
        <v>#REF!</v>
      </c>
      <c r="H22" s="13" t="e">
        <f>+SUMPRODUCT((#REF!)*(#REF!=$A22)*(#REF!=H$7))</f>
        <v>#REF!</v>
      </c>
      <c r="I22" s="13" t="e">
        <f>+SUMPRODUCT((#REF!)*(#REF!=$A22)*(#REF!=I$7))</f>
        <v>#REF!</v>
      </c>
      <c r="J22" s="13" t="e">
        <f>+SUMPRODUCT((#REF!)*(#REF!=$A22)*(#REF!=J$7))</f>
        <v>#REF!</v>
      </c>
      <c r="K22" s="13" t="e">
        <f>+SUMPRODUCT((#REF!)*(#REF!=$A22)*(#REF!=K$7))</f>
        <v>#REF!</v>
      </c>
      <c r="L22" s="13" t="e">
        <f>+SUMPRODUCT((#REF!)*(#REF!=$A22)*(#REF!=L$7))</f>
        <v>#REF!</v>
      </c>
    </row>
    <row r="23" spans="1:12" x14ac:dyDescent="0.25">
      <c r="A23" s="15">
        <f t="shared" si="0"/>
        <v>16</v>
      </c>
      <c r="B23" s="13" t="e">
        <f>+SUMPRODUCT((#REF!)*(#REF!=$A23)*(#REF!=B$7))</f>
        <v>#REF!</v>
      </c>
      <c r="C23" s="13" t="e">
        <f>+SUMPRODUCT((#REF!)*(#REF!=$A23)*(#REF!=C$7))</f>
        <v>#REF!</v>
      </c>
      <c r="D23" s="13" t="e">
        <f>+SUMPRODUCT((#REF!)*(#REF!=$A23)*(#REF!=D$7))</f>
        <v>#REF!</v>
      </c>
      <c r="E23" s="13" t="e">
        <f>+SUMPRODUCT((#REF!)*(#REF!=$A23)*(#REF!=E$7))</f>
        <v>#REF!</v>
      </c>
      <c r="F23" s="13" t="e">
        <f>+SUMPRODUCT((#REF!)*(#REF!=$A23)*(#REF!=F$7))</f>
        <v>#REF!</v>
      </c>
      <c r="G23" s="13" t="e">
        <f>+SUMPRODUCT((#REF!)*(#REF!=$A23)*(#REF!=G$7))</f>
        <v>#REF!</v>
      </c>
      <c r="H23" s="13" t="e">
        <f>+SUMPRODUCT((#REF!)*(#REF!=$A23)*(#REF!=H$7))</f>
        <v>#REF!</v>
      </c>
      <c r="I23" s="13" t="e">
        <f>+SUMPRODUCT((#REF!)*(#REF!=$A23)*(#REF!=I$7))</f>
        <v>#REF!</v>
      </c>
      <c r="J23" s="13" t="e">
        <f>+SUMPRODUCT((#REF!)*(#REF!=$A23)*(#REF!=J$7))</f>
        <v>#REF!</v>
      </c>
      <c r="K23" s="13" t="e">
        <f>+SUMPRODUCT((#REF!)*(#REF!=$A23)*(#REF!=K$7))</f>
        <v>#REF!</v>
      </c>
      <c r="L23" s="13" t="e">
        <f>+SUMPRODUCT((#REF!)*(#REF!=$A23)*(#REF!=L$7))</f>
        <v>#REF!</v>
      </c>
    </row>
    <row r="24" spans="1:12" x14ac:dyDescent="0.25">
      <c r="A24" s="15">
        <f t="shared" si="0"/>
        <v>17</v>
      </c>
      <c r="B24" s="13" t="e">
        <f>+SUMPRODUCT((#REF!)*(#REF!=$A24)*(#REF!=B$7))</f>
        <v>#REF!</v>
      </c>
      <c r="C24" s="13" t="e">
        <f>+SUMPRODUCT((#REF!)*(#REF!=$A24)*(#REF!=C$7))</f>
        <v>#REF!</v>
      </c>
      <c r="D24" s="13" t="e">
        <f>+SUMPRODUCT((#REF!)*(#REF!=$A24)*(#REF!=D$7))</f>
        <v>#REF!</v>
      </c>
      <c r="E24" s="13" t="e">
        <f>+SUMPRODUCT((#REF!)*(#REF!=$A24)*(#REF!=E$7))</f>
        <v>#REF!</v>
      </c>
      <c r="F24" s="13" t="e">
        <f>+SUMPRODUCT((#REF!)*(#REF!=$A24)*(#REF!=F$7))</f>
        <v>#REF!</v>
      </c>
      <c r="G24" s="13" t="e">
        <f>+SUMPRODUCT((#REF!)*(#REF!=$A24)*(#REF!=G$7))</f>
        <v>#REF!</v>
      </c>
      <c r="H24" s="13" t="e">
        <f>+SUMPRODUCT((#REF!)*(#REF!=$A24)*(#REF!=H$7))</f>
        <v>#REF!</v>
      </c>
      <c r="I24" s="13" t="e">
        <f>+SUMPRODUCT((#REF!)*(#REF!=$A24)*(#REF!=I$7))</f>
        <v>#REF!</v>
      </c>
      <c r="J24" s="13" t="e">
        <f>+SUMPRODUCT((#REF!)*(#REF!=$A24)*(#REF!=J$7))</f>
        <v>#REF!</v>
      </c>
      <c r="K24" s="13" t="e">
        <f>+SUMPRODUCT((#REF!)*(#REF!=$A24)*(#REF!=K$7))</f>
        <v>#REF!</v>
      </c>
      <c r="L24" s="13" t="e">
        <f>+SUMPRODUCT((#REF!)*(#REF!=$A24)*(#REF!=L$7))</f>
        <v>#REF!</v>
      </c>
    </row>
    <row r="25" spans="1:12" x14ac:dyDescent="0.25">
      <c r="A25" s="15">
        <f t="shared" si="0"/>
        <v>18</v>
      </c>
      <c r="B25" s="13" t="e">
        <f>+SUMPRODUCT((#REF!)*(#REF!=$A25)*(#REF!=B$7))</f>
        <v>#REF!</v>
      </c>
      <c r="C25" s="13" t="e">
        <f>+SUMPRODUCT((#REF!)*(#REF!=$A25)*(#REF!=C$7))</f>
        <v>#REF!</v>
      </c>
      <c r="D25" s="13" t="e">
        <f>+SUMPRODUCT((#REF!)*(#REF!=$A25)*(#REF!=D$7))</f>
        <v>#REF!</v>
      </c>
      <c r="E25" s="13" t="e">
        <f>+SUMPRODUCT((#REF!)*(#REF!=$A25)*(#REF!=E$7))</f>
        <v>#REF!</v>
      </c>
      <c r="F25" s="13" t="e">
        <f>+SUMPRODUCT((#REF!)*(#REF!=$A25)*(#REF!=F$7))</f>
        <v>#REF!</v>
      </c>
      <c r="G25" s="13" t="e">
        <f>+SUMPRODUCT((#REF!)*(#REF!=$A25)*(#REF!=G$7))</f>
        <v>#REF!</v>
      </c>
      <c r="H25" s="13" t="e">
        <f>+SUMPRODUCT((#REF!)*(#REF!=$A25)*(#REF!=H$7))</f>
        <v>#REF!</v>
      </c>
      <c r="I25" s="13" t="e">
        <f>+SUMPRODUCT((#REF!)*(#REF!=$A25)*(#REF!=I$7))</f>
        <v>#REF!</v>
      </c>
      <c r="J25" s="13" t="e">
        <f>+SUMPRODUCT((#REF!)*(#REF!=$A25)*(#REF!=J$7))</f>
        <v>#REF!</v>
      </c>
      <c r="K25" s="13" t="e">
        <f>+SUMPRODUCT((#REF!)*(#REF!=$A25)*(#REF!=K$7))</f>
        <v>#REF!</v>
      </c>
      <c r="L25" s="13" t="e">
        <f>+SUMPRODUCT((#REF!)*(#REF!=$A25)*(#REF!=L$7))</f>
        <v>#REF!</v>
      </c>
    </row>
    <row r="26" spans="1:12" x14ac:dyDescent="0.25">
      <c r="A26" s="15">
        <f t="shared" si="0"/>
        <v>19</v>
      </c>
      <c r="B26" s="13" t="e">
        <f>+SUMPRODUCT((#REF!)*(#REF!=$A26)*(#REF!=B$7))</f>
        <v>#REF!</v>
      </c>
      <c r="C26" s="13" t="e">
        <f>+SUMPRODUCT((#REF!)*(#REF!=$A26)*(#REF!=C$7))</f>
        <v>#REF!</v>
      </c>
      <c r="D26" s="13" t="e">
        <f>+SUMPRODUCT((#REF!)*(#REF!=$A26)*(#REF!=D$7))</f>
        <v>#REF!</v>
      </c>
      <c r="E26" s="13" t="e">
        <f>+SUMPRODUCT((#REF!)*(#REF!=$A26)*(#REF!=E$7))</f>
        <v>#REF!</v>
      </c>
      <c r="F26" s="13" t="e">
        <f>+SUMPRODUCT((#REF!)*(#REF!=$A26)*(#REF!=F$7))</f>
        <v>#REF!</v>
      </c>
      <c r="G26" s="13" t="e">
        <f>+SUMPRODUCT((#REF!)*(#REF!=$A26)*(#REF!=G$7))</f>
        <v>#REF!</v>
      </c>
      <c r="H26" s="13" t="e">
        <f>+SUMPRODUCT((#REF!)*(#REF!=$A26)*(#REF!=H$7))</f>
        <v>#REF!</v>
      </c>
      <c r="I26" s="13" t="e">
        <f>+SUMPRODUCT((#REF!)*(#REF!=$A26)*(#REF!=I$7))</f>
        <v>#REF!</v>
      </c>
      <c r="J26" s="13" t="e">
        <f>+SUMPRODUCT((#REF!)*(#REF!=$A26)*(#REF!=J$7))</f>
        <v>#REF!</v>
      </c>
      <c r="K26" s="13" t="e">
        <f>+SUMPRODUCT((#REF!)*(#REF!=$A26)*(#REF!=K$7))</f>
        <v>#REF!</v>
      </c>
      <c r="L26" s="13" t="e">
        <f>+SUMPRODUCT((#REF!)*(#REF!=$A26)*(#REF!=L$7))</f>
        <v>#REF!</v>
      </c>
    </row>
    <row r="27" spans="1:12" x14ac:dyDescent="0.25">
      <c r="A27" s="15">
        <f t="shared" si="0"/>
        <v>20</v>
      </c>
      <c r="B27" s="13" t="e">
        <f>+SUMPRODUCT((#REF!)*(#REF!=$A27)*(#REF!=B$7))</f>
        <v>#REF!</v>
      </c>
      <c r="C27" s="13" t="e">
        <f>+SUMPRODUCT((#REF!)*(#REF!=$A27)*(#REF!=C$7))</f>
        <v>#REF!</v>
      </c>
      <c r="D27" s="13" t="e">
        <f>+SUMPRODUCT((#REF!)*(#REF!=$A27)*(#REF!=D$7))</f>
        <v>#REF!</v>
      </c>
      <c r="E27" s="13" t="e">
        <f>+SUMPRODUCT((#REF!)*(#REF!=$A27)*(#REF!=E$7))</f>
        <v>#REF!</v>
      </c>
      <c r="F27" s="13" t="e">
        <f>+SUMPRODUCT((#REF!)*(#REF!=$A27)*(#REF!=F$7))</f>
        <v>#REF!</v>
      </c>
      <c r="G27" s="13" t="e">
        <f>+SUMPRODUCT((#REF!)*(#REF!=$A27)*(#REF!=G$7))</f>
        <v>#REF!</v>
      </c>
      <c r="H27" s="13" t="e">
        <f>+SUMPRODUCT((#REF!)*(#REF!=$A27)*(#REF!=H$7))</f>
        <v>#REF!</v>
      </c>
      <c r="I27" s="13" t="e">
        <f>+SUMPRODUCT((#REF!)*(#REF!=$A27)*(#REF!=I$7))</f>
        <v>#REF!</v>
      </c>
      <c r="J27" s="13" t="e">
        <f>+SUMPRODUCT((#REF!)*(#REF!=$A27)*(#REF!=J$7))</f>
        <v>#REF!</v>
      </c>
      <c r="K27" s="13" t="e">
        <f>+SUMPRODUCT((#REF!)*(#REF!=$A27)*(#REF!=K$7))</f>
        <v>#REF!</v>
      </c>
      <c r="L27" s="13" t="e">
        <f>+SUMPRODUCT((#REF!)*(#REF!=$A27)*(#REF!=L$7))</f>
        <v>#REF!</v>
      </c>
    </row>
    <row r="28" spans="1:12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25">
      <c r="A30" s="15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x14ac:dyDescent="0.25">
      <c r="A31" s="15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x14ac:dyDescent="0.25">
      <c r="A32" s="15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x14ac:dyDescent="0.25">
      <c r="A33" s="15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x14ac:dyDescent="0.25">
      <c r="A34" s="15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x14ac:dyDescent="0.25">
      <c r="A35" s="15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x14ac:dyDescent="0.25">
      <c r="A36" s="15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x14ac:dyDescent="0.25">
      <c r="A37" s="15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25">
      <c r="A38" s="15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25">
      <c r="A39" s="15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25">
      <c r="A40" s="15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x14ac:dyDescent="0.25">
      <c r="A41" s="15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25">
      <c r="A42" s="15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x14ac:dyDescent="0.25">
      <c r="A43" s="15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25">
      <c r="A44" s="15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x14ac:dyDescent="0.25">
      <c r="A45" s="15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3" tint="-0.249977111117893"/>
    <pageSetUpPr fitToPage="1"/>
  </sheetPr>
  <dimension ref="A1:P49"/>
  <sheetViews>
    <sheetView showGridLines="0" workbookViewId="0"/>
  </sheetViews>
  <sheetFormatPr defaultRowHeight="31.5" customHeight="1" x14ac:dyDescent="0.25"/>
  <cols>
    <col min="1" max="14" width="9.140625" style="112" customWidth="1"/>
    <col min="15" max="15" width="11.7109375" style="112" bestFit="1" customWidth="1"/>
  </cols>
  <sheetData>
    <row r="1" spans="1:15" ht="31.5" customHeight="1" x14ac:dyDescent="0.25">
      <c r="A1" s="317" t="s">
        <v>146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31.5" customHeight="1" x14ac:dyDescent="0.25">
      <c r="A2" s="316" t="e">
        <f>+#REF!</f>
        <v>#REF!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</row>
    <row r="3" spans="1:15" ht="31.5" customHeight="1" x14ac:dyDescent="0.25">
      <c r="A3" s="316" t="e">
        <f>+#REF!</f>
        <v>#REF!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</row>
    <row r="4" spans="1:15" ht="31.5" customHeight="1" x14ac:dyDescent="0.25">
      <c r="A4" s="255" t="s">
        <v>143</v>
      </c>
    </row>
    <row r="5" spans="1:15" ht="31.5" customHeight="1" x14ac:dyDescent="0.25">
      <c r="A5" s="398" t="s">
        <v>27</v>
      </c>
      <c r="B5" s="398"/>
      <c r="C5" s="399"/>
      <c r="D5" s="251" t="s">
        <v>96</v>
      </c>
      <c r="E5" s="251"/>
      <c r="F5" s="251"/>
      <c r="G5" s="251" t="s">
        <v>97</v>
      </c>
      <c r="H5" s="251"/>
      <c r="I5" s="251"/>
      <c r="J5" s="251" t="s">
        <v>87</v>
      </c>
      <c r="K5" s="251"/>
      <c r="L5" s="251"/>
      <c r="M5" s="251" t="s">
        <v>100</v>
      </c>
      <c r="N5" s="251"/>
      <c r="O5" s="405" t="s">
        <v>147</v>
      </c>
    </row>
    <row r="6" spans="1:15" ht="31.5" customHeight="1" x14ac:dyDescent="0.25">
      <c r="A6" s="400"/>
      <c r="B6" s="400"/>
      <c r="C6" s="401"/>
      <c r="D6" s="324" t="s">
        <v>20</v>
      </c>
      <c r="E6" s="325" t="s">
        <v>98</v>
      </c>
      <c r="F6" s="325" t="s">
        <v>99</v>
      </c>
      <c r="G6" s="324" t="s">
        <v>20</v>
      </c>
      <c r="H6" s="325" t="s">
        <v>98</v>
      </c>
      <c r="I6" s="325" t="s">
        <v>99</v>
      </c>
      <c r="J6" s="324" t="s">
        <v>20</v>
      </c>
      <c r="K6" s="325" t="s">
        <v>98</v>
      </c>
      <c r="L6" s="325" t="s">
        <v>99</v>
      </c>
      <c r="M6" s="324" t="s">
        <v>9</v>
      </c>
      <c r="N6" s="325" t="s">
        <v>1</v>
      </c>
      <c r="O6" s="406"/>
    </row>
    <row r="7" spans="1:15" ht="31.5" customHeight="1" x14ac:dyDescent="0.25">
      <c r="A7" s="354" t="s">
        <v>22</v>
      </c>
      <c r="B7" s="355"/>
      <c r="C7" s="355"/>
      <c r="D7" s="356" t="e">
        <f>+#REF!</f>
        <v>#REF!</v>
      </c>
      <c r="E7" s="357" t="e">
        <f>+#REF!</f>
        <v>#REF!</v>
      </c>
      <c r="F7" s="357" t="e">
        <f>+E7/D7</f>
        <v>#REF!</v>
      </c>
      <c r="G7" s="358" t="e">
        <f>+J7-D7</f>
        <v>#REF!</v>
      </c>
      <c r="H7" s="359" t="e">
        <f>+K7-E7</f>
        <v>#REF!</v>
      </c>
      <c r="I7" s="359" t="e">
        <f>+H7/G7</f>
        <v>#REF!</v>
      </c>
      <c r="J7" s="357" t="e">
        <f>+#REF!</f>
        <v>#REF!</v>
      </c>
      <c r="K7" s="359">
        <v>40000</v>
      </c>
      <c r="L7" s="359" t="e">
        <f>+K7/J7</f>
        <v>#REF!</v>
      </c>
      <c r="M7" s="360" t="e">
        <f t="shared" ref="M7:O8" si="0">+D7/J7</f>
        <v>#REF!</v>
      </c>
      <c r="N7" s="360" t="e">
        <f t="shared" si="0"/>
        <v>#REF!</v>
      </c>
      <c r="O7" s="363" t="e">
        <f>+F7-L7</f>
        <v>#REF!</v>
      </c>
    </row>
    <row r="8" spans="1:15" ht="31.5" hidden="1" customHeight="1" x14ac:dyDescent="0.25">
      <c r="A8" s="318" t="s">
        <v>30</v>
      </c>
      <c r="B8" s="319"/>
      <c r="C8" s="319"/>
      <c r="D8" s="320" t="e">
        <f>+D7</f>
        <v>#REF!</v>
      </c>
      <c r="E8" s="321" t="e">
        <f>+#REF!</f>
        <v>#REF!</v>
      </c>
      <c r="F8" s="321" t="e">
        <f>+E8/D8</f>
        <v>#REF!</v>
      </c>
      <c r="G8" s="320" t="e">
        <f>+J8-D8</f>
        <v>#REF!</v>
      </c>
      <c r="H8" s="321" t="e">
        <f>+K8-E8</f>
        <v>#REF!</v>
      </c>
      <c r="I8" s="321" t="e">
        <f>+H8/G8</f>
        <v>#REF!</v>
      </c>
      <c r="J8" s="320" t="e">
        <f>+#REF!</f>
        <v>#REF!</v>
      </c>
      <c r="K8" s="321" t="e">
        <f>+#REF!</f>
        <v>#REF!</v>
      </c>
      <c r="L8" s="321" t="e">
        <f>+K8/J8</f>
        <v>#REF!</v>
      </c>
      <c r="M8" s="322" t="e">
        <f t="shared" si="0"/>
        <v>#REF!</v>
      </c>
      <c r="N8" s="322" t="e">
        <f t="shared" si="0"/>
        <v>#REF!</v>
      </c>
      <c r="O8" s="323" t="e">
        <f t="shared" si="0"/>
        <v>#REF!</v>
      </c>
    </row>
    <row r="9" spans="1:15" ht="31.5" hidden="1" customHeight="1" x14ac:dyDescent="0.25">
      <c r="A9" s="257" t="s">
        <v>112</v>
      </c>
      <c r="B9" s="252"/>
      <c r="C9" s="252"/>
      <c r="D9" s="332"/>
      <c r="E9" s="253" t="e">
        <f t="shared" ref="E9:O9" si="1">+E7-E8</f>
        <v>#REF!</v>
      </c>
      <c r="F9" s="253" t="e">
        <f t="shared" si="1"/>
        <v>#REF!</v>
      </c>
      <c r="G9" s="253" t="e">
        <f t="shared" si="1"/>
        <v>#REF!</v>
      </c>
      <c r="H9" s="253" t="e">
        <f t="shared" si="1"/>
        <v>#REF!</v>
      </c>
      <c r="I9" s="253" t="e">
        <f t="shared" si="1"/>
        <v>#REF!</v>
      </c>
      <c r="J9" s="253" t="e">
        <f t="shared" si="1"/>
        <v>#REF!</v>
      </c>
      <c r="K9" s="253" t="e">
        <f t="shared" si="1"/>
        <v>#REF!</v>
      </c>
      <c r="L9" s="253" t="e">
        <f t="shared" si="1"/>
        <v>#REF!</v>
      </c>
      <c r="M9" s="254" t="e">
        <f t="shared" si="1"/>
        <v>#REF!</v>
      </c>
      <c r="N9" s="254" t="e">
        <f t="shared" si="1"/>
        <v>#REF!</v>
      </c>
      <c r="O9" s="258" t="e">
        <f t="shared" si="1"/>
        <v>#REF!</v>
      </c>
    </row>
    <row r="10" spans="1:15" ht="31.5" hidden="1" customHeight="1" x14ac:dyDescent="0.25">
      <c r="A10" s="255" t="s">
        <v>101</v>
      </c>
    </row>
    <row r="11" spans="1:15" ht="31.5" hidden="1" customHeight="1" x14ac:dyDescent="0.25">
      <c r="A11" s="225"/>
      <c r="B11" s="225"/>
      <c r="C11" s="225"/>
      <c r="D11" s="402" t="s">
        <v>106</v>
      </c>
      <c r="E11" s="402"/>
      <c r="F11" s="402"/>
      <c r="G11" s="402"/>
      <c r="H11" s="403" t="s">
        <v>107</v>
      </c>
      <c r="I11" s="403"/>
      <c r="J11" s="403"/>
      <c r="K11" s="403"/>
      <c r="L11" s="404" t="s">
        <v>108</v>
      </c>
      <c r="M11" s="404"/>
      <c r="N11" s="404"/>
      <c r="O11" s="404"/>
    </row>
    <row r="12" spans="1:15" ht="27.75" hidden="1" customHeight="1" x14ac:dyDescent="0.25">
      <c r="A12" s="256" t="s">
        <v>102</v>
      </c>
      <c r="B12" s="217"/>
      <c r="C12" s="217"/>
      <c r="D12" s="218" t="e">
        <f>+#REF!</f>
        <v>#REF!</v>
      </c>
      <c r="E12" s="218"/>
      <c r="F12" s="218"/>
      <c r="G12" s="218"/>
      <c r="H12" s="218" t="e">
        <f>+#REF!</f>
        <v>#REF!</v>
      </c>
      <c r="I12" s="218"/>
      <c r="J12" s="218"/>
      <c r="K12" s="223"/>
      <c r="L12" s="218" t="e">
        <f>+#REF!</f>
        <v>#REF!</v>
      </c>
      <c r="M12" s="218"/>
      <c r="N12" s="218"/>
      <c r="O12" s="259"/>
    </row>
    <row r="13" spans="1:15" ht="27.75" hidden="1" customHeight="1" x14ac:dyDescent="0.25">
      <c r="A13" s="256" t="s">
        <v>107</v>
      </c>
      <c r="B13" s="217"/>
      <c r="C13" s="217"/>
      <c r="D13" s="216" t="e">
        <f>+#REF!</f>
        <v>#REF!</v>
      </c>
      <c r="E13" s="216"/>
      <c r="F13" s="216"/>
      <c r="G13" s="216"/>
      <c r="H13" s="216" t="e">
        <f>+#REF!</f>
        <v>#REF!</v>
      </c>
      <c r="I13" s="216"/>
      <c r="J13" s="216"/>
      <c r="K13" s="217"/>
      <c r="L13" s="216" t="e">
        <f>+#REF!</f>
        <v>#REF!</v>
      </c>
      <c r="M13" s="216"/>
      <c r="N13" s="216"/>
      <c r="O13" s="259"/>
    </row>
    <row r="14" spans="1:15" ht="27.75" hidden="1" customHeight="1" x14ac:dyDescent="0.25">
      <c r="A14" s="256" t="s">
        <v>111</v>
      </c>
      <c r="B14" s="217"/>
      <c r="C14" s="217"/>
      <c r="D14" s="220" t="e">
        <f>$F$7-+D13</f>
        <v>#REF!</v>
      </c>
      <c r="E14" s="220"/>
      <c r="F14" s="220"/>
      <c r="G14" s="219"/>
      <c r="H14" s="221"/>
      <c r="I14" s="227"/>
      <c r="J14" s="227"/>
      <c r="K14" s="222"/>
      <c r="L14" s="220" t="e">
        <f>$F$7-+L13</f>
        <v>#REF!</v>
      </c>
      <c r="M14" s="220"/>
      <c r="N14" s="220"/>
      <c r="O14" s="260"/>
    </row>
    <row r="15" spans="1:15" ht="12" customHeight="1" x14ac:dyDescent="0.25">
      <c r="A15" s="299"/>
      <c r="B15" s="299"/>
      <c r="C15" s="299"/>
      <c r="D15" s="300"/>
      <c r="E15" s="300"/>
      <c r="F15" s="300"/>
      <c r="G15" s="301"/>
      <c r="H15" s="301"/>
      <c r="I15" s="301"/>
      <c r="J15" s="301"/>
      <c r="K15" s="301"/>
      <c r="L15" s="301"/>
      <c r="M15" s="300"/>
      <c r="N15" s="300"/>
      <c r="O15" s="302"/>
    </row>
    <row r="16" spans="1:15" ht="31.5" customHeight="1" x14ac:dyDescent="0.25">
      <c r="A16" s="261" t="s">
        <v>145</v>
      </c>
    </row>
    <row r="17" spans="1:16" ht="15" customHeight="1" x14ac:dyDescent="0.25">
      <c r="A17" s="39"/>
      <c r="B17" s="39"/>
      <c r="C17" s="262" t="e">
        <f>+IF(C18&lt;=#REF!,"완료","진행중")</f>
        <v>#REF!</v>
      </c>
      <c r="D17" s="335" t="e">
        <f>+IF(D18&lt;=#REF!,"완료","진행중")</f>
        <v>#REF!</v>
      </c>
      <c r="E17" s="335" t="e">
        <f>+IF(E18&lt;=#REF!,"완료","진행중")</f>
        <v>#REF!</v>
      </c>
      <c r="F17" s="335" t="e">
        <f>+IF(F18&lt;=#REF!,"완료","진행중")</f>
        <v>#REF!</v>
      </c>
      <c r="G17" s="335" t="e">
        <f>+IF(G18&lt;=#REF!,"완료","진행중")</f>
        <v>#REF!</v>
      </c>
      <c r="H17" s="335" t="e">
        <f>+IF(H18&lt;=#REF!,"완료","진행중")</f>
        <v>#REF!</v>
      </c>
      <c r="I17" s="335" t="e">
        <f>+IF(I18&lt;=#REF!,"완료","진행중")</f>
        <v>#REF!</v>
      </c>
      <c r="J17" s="335" t="e">
        <f>+IF(J18&lt;=#REF!,"완료","진행중")</f>
        <v>#REF!</v>
      </c>
      <c r="K17" s="335" t="e">
        <f>+IF(K18&lt;=#REF!,"완료","진행중")</f>
        <v>#REF!</v>
      </c>
      <c r="L17" s="335" t="e">
        <f>+IF(L18&lt;=#REF!,"완료","진행중")</f>
        <v>#REF!</v>
      </c>
      <c r="M17" s="58"/>
      <c r="O17" s="263" t="s">
        <v>117</v>
      </c>
    </row>
    <row r="18" spans="1:16" ht="28.5" customHeight="1" x14ac:dyDescent="0.25">
      <c r="A18" s="312" t="s">
        <v>27</v>
      </c>
      <c r="B18" s="313"/>
      <c r="C18" s="314">
        <v>2</v>
      </c>
      <c r="D18" s="314">
        <f t="shared" ref="D18:L18" si="2">+C18+2</f>
        <v>4</v>
      </c>
      <c r="E18" s="314">
        <f t="shared" si="2"/>
        <v>6</v>
      </c>
      <c r="F18" s="314">
        <f t="shared" si="2"/>
        <v>8</v>
      </c>
      <c r="G18" s="314">
        <f t="shared" si="2"/>
        <v>10</v>
      </c>
      <c r="H18" s="314">
        <f t="shared" si="2"/>
        <v>12</v>
      </c>
      <c r="I18" s="314">
        <f t="shared" si="2"/>
        <v>14</v>
      </c>
      <c r="J18" s="314">
        <f t="shared" si="2"/>
        <v>16</v>
      </c>
      <c r="K18" s="314">
        <f t="shared" si="2"/>
        <v>18</v>
      </c>
      <c r="L18" s="314">
        <f t="shared" si="2"/>
        <v>20</v>
      </c>
      <c r="M18" s="315" t="s">
        <v>94</v>
      </c>
      <c r="N18" s="386" t="s">
        <v>138</v>
      </c>
      <c r="O18" s="387"/>
    </row>
    <row r="19" spans="1:16" ht="28.5" customHeight="1" x14ac:dyDescent="0.25">
      <c r="A19" s="394" t="s">
        <v>118</v>
      </c>
      <c r="B19" s="235" t="s">
        <v>3</v>
      </c>
      <c r="C19" s="236" t="e">
        <f>+SUMPRODUCT((#REF!)*(#REF!&lt;=C$18)*(#REF!=$B19))</f>
        <v>#REF!</v>
      </c>
      <c r="D19" s="236" t="e">
        <f>+SUMPRODUCT((#REF!)*(#REF!&lt;=D$18)*(#REF!=$B19))-SUM($C19:C19)</f>
        <v>#REF!</v>
      </c>
      <c r="E19" s="236" t="e">
        <f>+SUMPRODUCT((#REF!)*(#REF!&lt;=E$18)*(#REF!=$B19))-SUM($C19:D19)</f>
        <v>#REF!</v>
      </c>
      <c r="F19" s="236" t="e">
        <f>+SUMPRODUCT((#REF!)*(#REF!&lt;=F$18)*(#REF!=$B19))-SUM($C19:E19)</f>
        <v>#REF!</v>
      </c>
      <c r="G19" s="236" t="e">
        <f>+SUMPRODUCT((#REF!)*(#REF!&lt;=G$18)*(#REF!=$B19))-SUM($C19:F19)</f>
        <v>#REF!</v>
      </c>
      <c r="H19" s="236" t="e">
        <f>+SUMPRODUCT((#REF!)*(#REF!&lt;=H$18)*(#REF!=$B19))-SUM($C19:G19)</f>
        <v>#REF!</v>
      </c>
      <c r="I19" s="236" t="e">
        <f>+SUMPRODUCT((#REF!)*(#REF!&lt;=I$18)*(#REF!=$B19))-SUM($C19:H19)</f>
        <v>#REF!</v>
      </c>
      <c r="J19" s="236" t="e">
        <f>+SUMPRODUCT((#REF!)*(#REF!&lt;=J$18)*(#REF!=$B19))-SUM($C19:I19)</f>
        <v>#REF!</v>
      </c>
      <c r="K19" s="236" t="e">
        <f>+SUMPRODUCT((#REF!)*(#REF!&lt;=K$18)*(#REF!=$B19))-SUM($C19:J19)</f>
        <v>#REF!</v>
      </c>
      <c r="L19" s="236" t="e">
        <f>+SUMPRODUCT((#REF!)*(#REF!&lt;=L$18)*(#REF!=$B19))-SUM($C19:K19)</f>
        <v>#REF!</v>
      </c>
      <c r="M19" s="237" t="e">
        <f t="shared" ref="M19:M31" si="3">+SUM(C19:L19)</f>
        <v>#REF!</v>
      </c>
      <c r="N19" s="388" t="s">
        <v>113</v>
      </c>
      <c r="O19" s="389"/>
      <c r="P19" s="13" t="e">
        <f t="shared" ref="P19:P27" si="4">+SUM(C19:L19)</f>
        <v>#REF!</v>
      </c>
    </row>
    <row r="20" spans="1:16" ht="28.5" customHeight="1" x14ac:dyDescent="0.25">
      <c r="A20" s="395"/>
      <c r="B20" s="235" t="s">
        <v>10</v>
      </c>
      <c r="C20" s="236" t="e">
        <f>+SUMPRODUCT((#REF!)*(#REF!&lt;=C$18)*(#REF!=$B20))</f>
        <v>#REF!</v>
      </c>
      <c r="D20" s="236" t="e">
        <f>+SUMPRODUCT((#REF!)*(#REF!&lt;=D$18)*(#REF!=$B20))-SUM($C20:C20)</f>
        <v>#REF!</v>
      </c>
      <c r="E20" s="236" t="e">
        <f>+SUMPRODUCT((#REF!)*(#REF!&lt;=E$18)*(#REF!=$B20))-SUM($C20:D20)</f>
        <v>#REF!</v>
      </c>
      <c r="F20" s="236" t="e">
        <f>+SUMPRODUCT((#REF!)*(#REF!&lt;=F$18)*(#REF!=$B20))-SUM($C20:E20)</f>
        <v>#REF!</v>
      </c>
      <c r="G20" s="236" t="e">
        <f>+SUMPRODUCT((#REF!)*(#REF!&lt;=G$18)*(#REF!=$B20))-SUM($C20:F20)</f>
        <v>#REF!</v>
      </c>
      <c r="H20" s="236" t="e">
        <f>+SUMPRODUCT((#REF!)*(#REF!&lt;=H$18)*(#REF!=$B20))-SUM($C20:G20)</f>
        <v>#REF!</v>
      </c>
      <c r="I20" s="236" t="e">
        <f>+SUMPRODUCT((#REF!)*(#REF!&lt;=I$18)*(#REF!=$B20))-SUM($C20:H20)</f>
        <v>#REF!</v>
      </c>
      <c r="J20" s="236" t="e">
        <f>+SUMPRODUCT((#REF!)*(#REF!&lt;=J$18)*(#REF!=$B20))-SUM($C20:I20)</f>
        <v>#REF!</v>
      </c>
      <c r="K20" s="329" t="e">
        <f>+SUMPRODUCT((#REF!)*(#REF!&lt;=K$18)*(#REF!=$B20))-SUM($C20:J20)</f>
        <v>#REF!</v>
      </c>
      <c r="L20" s="329" t="e">
        <f>+SUMPRODUCT((#REF!)*(#REF!&lt;=L$18)*(#REF!=$B20))-SUM($C20:K20)</f>
        <v>#REF!</v>
      </c>
      <c r="M20" s="237" t="e">
        <f t="shared" si="3"/>
        <v>#REF!</v>
      </c>
      <c r="N20" s="388" t="s">
        <v>116</v>
      </c>
      <c r="O20" s="389"/>
      <c r="P20" s="13" t="e">
        <f t="shared" si="4"/>
        <v>#REF!</v>
      </c>
    </row>
    <row r="21" spans="1:16" ht="28.5" customHeight="1" x14ac:dyDescent="0.25">
      <c r="A21" s="395"/>
      <c r="B21" s="235" t="s">
        <v>11</v>
      </c>
      <c r="C21" s="236" t="e">
        <f>+SUMPRODUCT((#REF!)*(#REF!&lt;=C$18)*(#REF!=$B21))</f>
        <v>#REF!</v>
      </c>
      <c r="D21" s="236" t="e">
        <f>+SUMPRODUCT((#REF!)*(#REF!&lt;=D$18)*(#REF!=$B21))-SUM($C21:C21)</f>
        <v>#REF!</v>
      </c>
      <c r="E21" s="236" t="e">
        <f>+SUMPRODUCT((#REF!)*(#REF!&lt;=E$18)*(#REF!=$B21))-SUM($C21:D21)</f>
        <v>#REF!</v>
      </c>
      <c r="F21" s="236" t="e">
        <f>+SUMPRODUCT((#REF!)*(#REF!&lt;=F$18)*(#REF!=$B21))-SUM($C21:E21)</f>
        <v>#REF!</v>
      </c>
      <c r="G21" s="236" t="e">
        <f>+SUMPRODUCT((#REF!)*(#REF!&lt;=G$18)*(#REF!=$B21))-SUM($C21:F21)</f>
        <v>#REF!</v>
      </c>
      <c r="H21" s="236" t="e">
        <f>+SUMPRODUCT((#REF!)*(#REF!&lt;=H$18)*(#REF!=$B21))-SUM($C21:G21)</f>
        <v>#REF!</v>
      </c>
      <c r="I21" s="236" t="e">
        <f>+SUMPRODUCT((#REF!)*(#REF!&lt;=I$18)*(#REF!=$B21))-SUM($C21:H21)</f>
        <v>#REF!</v>
      </c>
      <c r="J21" s="236" t="e">
        <f>+SUMPRODUCT((#REF!)*(#REF!&lt;=J$18)*(#REF!=$B21))-SUM($C21:I21)</f>
        <v>#REF!</v>
      </c>
      <c r="K21" s="329" t="e">
        <f>+SUMPRODUCT((#REF!)*(#REF!&lt;=K$18)*(#REF!=$B21))-SUM($C21:J21)</f>
        <v>#REF!</v>
      </c>
      <c r="L21" s="329" t="e">
        <f>+SUMPRODUCT((#REF!)*(#REF!&lt;=L$18)*(#REF!=$B21))-SUM($C21:K21)</f>
        <v>#REF!</v>
      </c>
      <c r="M21" s="237" t="e">
        <f t="shared" si="3"/>
        <v>#REF!</v>
      </c>
      <c r="N21" s="388" t="s">
        <v>115</v>
      </c>
      <c r="O21" s="389"/>
      <c r="P21" s="13" t="e">
        <f t="shared" si="4"/>
        <v>#REF!</v>
      </c>
    </row>
    <row r="22" spans="1:16" ht="28.5" customHeight="1" x14ac:dyDescent="0.25">
      <c r="A22" s="395"/>
      <c r="B22" s="235" t="s">
        <v>12</v>
      </c>
      <c r="C22" s="236" t="e">
        <f>+SUMPRODUCT((#REF!)*(#REF!&lt;=C$18)*(#REF!=$B22))</f>
        <v>#REF!</v>
      </c>
      <c r="D22" s="236" t="e">
        <f>+SUMPRODUCT((#REF!)*(#REF!&lt;=D$18)*(#REF!=$B22))-SUM($C22:C22)</f>
        <v>#REF!</v>
      </c>
      <c r="E22" s="236" t="e">
        <f>+SUMPRODUCT((#REF!)*(#REF!&lt;=E$18)*(#REF!=$B22))-SUM($C22:D22)</f>
        <v>#REF!</v>
      </c>
      <c r="F22" s="236" t="e">
        <f>+SUMPRODUCT((#REF!)*(#REF!&lt;=F$18)*(#REF!=$B22))-SUM($C22:E22)</f>
        <v>#REF!</v>
      </c>
      <c r="G22" s="236" t="e">
        <f>+SUMPRODUCT((#REF!)*(#REF!&lt;=G$18)*(#REF!=$B22))-SUM($C22:F22)</f>
        <v>#REF!</v>
      </c>
      <c r="H22" s="236" t="e">
        <f>+SUMPRODUCT((#REF!)*(#REF!&lt;=H$18)*(#REF!=$B22))-SUM($C22:G22)</f>
        <v>#REF!</v>
      </c>
      <c r="I22" s="236" t="e">
        <f>+SUMPRODUCT((#REF!)*(#REF!&lt;=I$18)*(#REF!=$B22))-SUM($C22:H22)</f>
        <v>#REF!</v>
      </c>
      <c r="J22" s="329" t="e">
        <f>+SUMPRODUCT((#REF!)*(#REF!&lt;=J$18)*(#REF!=$B22))-SUM($C22:I22)</f>
        <v>#REF!</v>
      </c>
      <c r="K22" s="329" t="e">
        <f>+SUMPRODUCT((#REF!)*(#REF!&lt;=K$18)*(#REF!=$B22))-SUM($C22:J22)</f>
        <v>#REF!</v>
      </c>
      <c r="L22" s="329" t="e">
        <f>+SUMPRODUCT((#REF!)*(#REF!&lt;=L$18)*(#REF!=$B22))-SUM($C22:K22)</f>
        <v>#REF!</v>
      </c>
      <c r="M22" s="237" t="e">
        <f t="shared" si="3"/>
        <v>#REF!</v>
      </c>
      <c r="N22" s="388" t="s">
        <v>115</v>
      </c>
      <c r="O22" s="389"/>
      <c r="P22" s="13" t="e">
        <f t="shared" si="4"/>
        <v>#REF!</v>
      </c>
    </row>
    <row r="23" spans="1:16" ht="28.5" customHeight="1" x14ac:dyDescent="0.25">
      <c r="A23" s="395"/>
      <c r="B23" s="235" t="s">
        <v>13</v>
      </c>
      <c r="C23" s="236" t="e">
        <f>+SUMPRODUCT((#REF!)*(#REF!&lt;=C$18)*(#REF!=$B23))</f>
        <v>#REF!</v>
      </c>
      <c r="D23" s="236" t="e">
        <f>+SUMPRODUCT((#REF!)*(#REF!&lt;=D$18)*(#REF!=$B23))-SUM($C23:C23)</f>
        <v>#REF!</v>
      </c>
      <c r="E23" s="236" t="e">
        <f>+SUMPRODUCT((#REF!)*(#REF!&lt;=E$18)*(#REF!=$B23))-SUM($C23:D23)</f>
        <v>#REF!</v>
      </c>
      <c r="F23" s="236" t="e">
        <f>+SUMPRODUCT((#REF!)*(#REF!&lt;=F$18)*(#REF!=$B23))-SUM($C23:E23)</f>
        <v>#REF!</v>
      </c>
      <c r="G23" s="236" t="e">
        <f>+SUMPRODUCT((#REF!)*(#REF!&lt;=G$18)*(#REF!=$B23))-SUM($C23:F23)</f>
        <v>#REF!</v>
      </c>
      <c r="H23" s="236" t="e">
        <f>+SUMPRODUCT((#REF!)*(#REF!&lt;=H$18)*(#REF!=$B23))-SUM($C23:G23)</f>
        <v>#REF!</v>
      </c>
      <c r="I23" s="236" t="e">
        <f>+SUMPRODUCT((#REF!)*(#REF!&lt;=I$18)*(#REF!=$B23))-SUM($C23:H23)</f>
        <v>#REF!</v>
      </c>
      <c r="J23" s="329" t="e">
        <f>+SUMPRODUCT((#REF!)*(#REF!&lt;=J$18)*(#REF!=$B23))-SUM($C23:I23)</f>
        <v>#REF!</v>
      </c>
      <c r="K23" s="329" t="e">
        <f>+SUMPRODUCT((#REF!)*(#REF!&lt;=K$18)*(#REF!=$B23))-SUM($C23:J23)</f>
        <v>#REF!</v>
      </c>
      <c r="L23" s="329" t="e">
        <f>+SUMPRODUCT((#REF!)*(#REF!&lt;=L$18)*(#REF!=$B23))-SUM($C23:K23)</f>
        <v>#REF!</v>
      </c>
      <c r="M23" s="237" t="e">
        <f t="shared" si="3"/>
        <v>#REF!</v>
      </c>
      <c r="N23" s="388" t="s">
        <v>113</v>
      </c>
      <c r="O23" s="389"/>
      <c r="P23" s="13" t="e">
        <f t="shared" si="4"/>
        <v>#REF!</v>
      </c>
    </row>
    <row r="24" spans="1:16" ht="28.5" customHeight="1" x14ac:dyDescent="0.25">
      <c r="A24" s="395"/>
      <c r="B24" s="233" t="s">
        <v>14</v>
      </c>
      <c r="C24" s="236" t="e">
        <f>+SUMPRODUCT((#REF!)*(#REF!&lt;=C$18)*(#REF!=$B24))</f>
        <v>#REF!</v>
      </c>
      <c r="D24" s="236" t="e">
        <f>+SUMPRODUCT((#REF!)*(#REF!&lt;=D$18)*(#REF!=$B24))-SUM($C24:C24)</f>
        <v>#REF!</v>
      </c>
      <c r="E24" s="236" t="e">
        <f>+SUMPRODUCT((#REF!)*(#REF!&lt;=E$18)*(#REF!=$B24))-SUM($C24:D24)</f>
        <v>#REF!</v>
      </c>
      <c r="F24" s="236" t="e">
        <f>+SUMPRODUCT((#REF!)*(#REF!&lt;=F$18)*(#REF!=$B24))-SUM($C24:E24)</f>
        <v>#REF!</v>
      </c>
      <c r="G24" s="236" t="e">
        <f>+SUMPRODUCT((#REF!)*(#REF!&lt;=G$18)*(#REF!=$B24))-SUM($C24:F24)</f>
        <v>#REF!</v>
      </c>
      <c r="H24" s="236" t="e">
        <f>+SUMPRODUCT((#REF!)*(#REF!&lt;=H$18)*(#REF!=$B24))-SUM($C24:G24)</f>
        <v>#REF!</v>
      </c>
      <c r="I24" s="236" t="e">
        <f>+SUMPRODUCT((#REF!)*(#REF!&lt;=I$18)*(#REF!=$B24))-SUM($C24:H24)</f>
        <v>#REF!</v>
      </c>
      <c r="J24" s="330" t="e">
        <f>+SUMPRODUCT((#REF!)*(#REF!&lt;=J$18)*(#REF!=$B24))-SUM($C24:I24)</f>
        <v>#REF!</v>
      </c>
      <c r="K24" s="330" t="e">
        <f>+SUMPRODUCT((#REF!)*(#REF!&lt;=K$18)*(#REF!=$B24))-SUM($C24:J24)</f>
        <v>#REF!</v>
      </c>
      <c r="L24" s="330" t="e">
        <f>+SUMPRODUCT((#REF!)*(#REF!&lt;=L$18)*(#REF!=$B24))-SUM($C24:K24)</f>
        <v>#REF!</v>
      </c>
      <c r="M24" s="234" t="e">
        <f t="shared" si="3"/>
        <v>#REF!</v>
      </c>
      <c r="N24" s="390" t="s">
        <v>113</v>
      </c>
      <c r="O24" s="391"/>
      <c r="P24" s="13" t="e">
        <f t="shared" si="4"/>
        <v>#REF!</v>
      </c>
    </row>
    <row r="25" spans="1:16" ht="28.5" customHeight="1" x14ac:dyDescent="0.25">
      <c r="A25" s="395"/>
      <c r="B25" s="214" t="s">
        <v>105</v>
      </c>
      <c r="C25" s="229" t="e">
        <f t="shared" ref="C25:I25" si="5">+AVERAGE(C19:C24)</f>
        <v>#REF!</v>
      </c>
      <c r="D25" s="229" t="e">
        <f t="shared" si="5"/>
        <v>#REF!</v>
      </c>
      <c r="E25" s="229" t="e">
        <f t="shared" si="5"/>
        <v>#REF!</v>
      </c>
      <c r="F25" s="229" t="e">
        <f t="shared" si="5"/>
        <v>#REF!</v>
      </c>
      <c r="G25" s="229" t="e">
        <f t="shared" si="5"/>
        <v>#REF!</v>
      </c>
      <c r="H25" s="229" t="e">
        <f t="shared" si="5"/>
        <v>#REF!</v>
      </c>
      <c r="I25" s="229" t="e">
        <f t="shared" si="5"/>
        <v>#REF!</v>
      </c>
      <c r="J25" s="331">
        <v>0</v>
      </c>
      <c r="K25" s="331">
        <v>0</v>
      </c>
      <c r="L25" s="331">
        <v>0</v>
      </c>
      <c r="M25" s="232" t="e">
        <f t="shared" si="3"/>
        <v>#REF!</v>
      </c>
      <c r="N25" s="392"/>
      <c r="O25" s="393"/>
      <c r="P25" s="13" t="e">
        <f t="shared" si="4"/>
        <v>#REF!</v>
      </c>
    </row>
    <row r="26" spans="1:16" ht="28.5" customHeight="1" x14ac:dyDescent="0.25">
      <c r="A26" s="396" t="s">
        <v>119</v>
      </c>
      <c r="B26" s="231" t="s">
        <v>5</v>
      </c>
      <c r="C26" s="229" t="e">
        <f>+SUMPRODUCT((#REF!)*(#REF!&lt;=C$18)*(#REF!=$B26))</f>
        <v>#REF!</v>
      </c>
      <c r="D26" s="229" t="e">
        <f>+SUMPRODUCT((#REF!)*(#REF!&lt;=D$18)*(#REF!=$B26))-SUM($C26:C26)</f>
        <v>#REF!</v>
      </c>
      <c r="E26" s="229" t="e">
        <f>+SUMPRODUCT((#REF!)*(#REF!&lt;=E$18)*(#REF!=$B26))-SUM($C26:D26)</f>
        <v>#REF!</v>
      </c>
      <c r="F26" s="229" t="e">
        <f>+SUMPRODUCT((#REF!)*(#REF!&lt;=F$18)*(#REF!=$B26))-SUM($C26:E26)</f>
        <v>#REF!</v>
      </c>
      <c r="G26" s="229" t="e">
        <f>+SUMPRODUCT((#REF!)*(#REF!&lt;=G$18)*(#REF!=$B26))-SUM($C26:F26)</f>
        <v>#REF!</v>
      </c>
      <c r="H26" s="229" t="e">
        <f>+SUMPRODUCT((#REF!)*(#REF!&lt;=H$18)*(#REF!=$B26))-SUM($C26:G26)</f>
        <v>#REF!</v>
      </c>
      <c r="I26" s="229" t="e">
        <f>+SUMPRODUCT((#REF!)*(#REF!&lt;=I$18)*(#REF!=$B26))-SUM($C26:H26)</f>
        <v>#REF!</v>
      </c>
      <c r="J26" s="331" t="e">
        <f>+SUMPRODUCT((#REF!)*(#REF!&lt;=J$18)*(#REF!=$B26))-SUM($C26:I26)</f>
        <v>#REF!</v>
      </c>
      <c r="K26" s="331" t="e">
        <f>+SUMPRODUCT((#REF!)*(#REF!&lt;=K$18)*(#REF!=$B26))-SUM($C26:J26)</f>
        <v>#REF!</v>
      </c>
      <c r="L26" s="331" t="e">
        <f>+SUMPRODUCT((#REF!)*(#REF!&lt;=L$18)*(#REF!=$B26))-SUM($C26:K26)</f>
        <v>#REF!</v>
      </c>
      <c r="M26" s="232" t="e">
        <f t="shared" si="3"/>
        <v>#REF!</v>
      </c>
      <c r="N26" s="392" t="s">
        <v>139</v>
      </c>
      <c r="O26" s="393"/>
      <c r="P26" s="13" t="e">
        <f t="shared" si="4"/>
        <v>#REF!</v>
      </c>
    </row>
    <row r="27" spans="1:16" ht="28.5" customHeight="1" x14ac:dyDescent="0.25">
      <c r="A27" s="395"/>
      <c r="B27" s="233" t="s">
        <v>4</v>
      </c>
      <c r="C27" s="236" t="e">
        <f>+SUMPRODUCT((#REF!)*(#REF!&lt;=C$18)*(#REF!=$B27))</f>
        <v>#REF!</v>
      </c>
      <c r="D27" s="236" t="e">
        <f>+SUMPRODUCT((#REF!)*(#REF!&lt;=D$18)*(#REF!=$B27))-SUM($C27:C27)</f>
        <v>#REF!</v>
      </c>
      <c r="E27" s="236" t="e">
        <f>+SUMPRODUCT((#REF!)*(#REF!&lt;=E$18)*(#REF!=$B27))-SUM($C27:D27)</f>
        <v>#REF!</v>
      </c>
      <c r="F27" s="236" t="e">
        <f>+SUMPRODUCT((#REF!)*(#REF!&lt;=F$18)*(#REF!=$B27))-SUM($C27:E27)</f>
        <v>#REF!</v>
      </c>
      <c r="G27" s="236" t="e">
        <f>+SUMPRODUCT((#REF!)*(#REF!&lt;=G$18)*(#REF!=$B27))-SUM($C27:F27)</f>
        <v>#REF!</v>
      </c>
      <c r="H27" s="236" t="e">
        <f>+SUMPRODUCT((#REF!)*(#REF!&lt;=H$18)*(#REF!=$B27))-SUM($C27:G27)</f>
        <v>#REF!</v>
      </c>
      <c r="I27" s="236" t="e">
        <f>+SUMPRODUCT((#REF!)*(#REF!&lt;=I$18)*(#REF!=$B27))-SUM($C27:H27)</f>
        <v>#REF!</v>
      </c>
      <c r="J27" s="230" t="e">
        <f>+SUMPRODUCT((#REF!)*(#REF!&lt;=J$18)*(#REF!=$B27))-SUM($C27:I27)</f>
        <v>#REF!</v>
      </c>
      <c r="K27" s="330" t="e">
        <f>+SUMPRODUCT((#REF!)*(#REF!&lt;=K$18)*(#REF!=$B27))-SUM($C27:J27)</f>
        <v>#REF!</v>
      </c>
      <c r="L27" s="330" t="e">
        <f>+SUMPRODUCT((#REF!)*(#REF!&lt;=L$18)*(#REF!=$B27))-SUM($C27:K27)</f>
        <v>#REF!</v>
      </c>
      <c r="M27" s="234" t="e">
        <f t="shared" si="3"/>
        <v>#REF!</v>
      </c>
      <c r="N27" s="390" t="s">
        <v>139</v>
      </c>
      <c r="O27" s="391"/>
      <c r="P27" s="13" t="e">
        <f t="shared" si="4"/>
        <v>#REF!</v>
      </c>
    </row>
    <row r="28" spans="1:16" ht="28.5" customHeight="1" x14ac:dyDescent="0.25">
      <c r="A28" s="397"/>
      <c r="B28" s="341" t="s">
        <v>105</v>
      </c>
      <c r="C28" s="342" t="e">
        <f t="shared" ref="C28:L28" si="6">+AVERAGE(C26:C27)</f>
        <v>#REF!</v>
      </c>
      <c r="D28" s="342" t="e">
        <f t="shared" si="6"/>
        <v>#REF!</v>
      </c>
      <c r="E28" s="342" t="e">
        <f t="shared" si="6"/>
        <v>#REF!</v>
      </c>
      <c r="F28" s="342" t="e">
        <f t="shared" si="6"/>
        <v>#REF!</v>
      </c>
      <c r="G28" s="342" t="e">
        <f t="shared" si="6"/>
        <v>#REF!</v>
      </c>
      <c r="H28" s="342" t="e">
        <f t="shared" si="6"/>
        <v>#REF!</v>
      </c>
      <c r="I28" s="342" t="e">
        <f t="shared" si="6"/>
        <v>#REF!</v>
      </c>
      <c r="J28" s="342" t="e">
        <f t="shared" si="6"/>
        <v>#REF!</v>
      </c>
      <c r="K28" s="343" t="e">
        <f t="shared" si="6"/>
        <v>#REF!</v>
      </c>
      <c r="L28" s="343" t="e">
        <f t="shared" si="6"/>
        <v>#REF!</v>
      </c>
      <c r="M28" s="344" t="e">
        <f t="shared" si="3"/>
        <v>#REF!</v>
      </c>
      <c r="N28" s="384"/>
      <c r="O28" s="385"/>
    </row>
    <row r="29" spans="1:16" ht="28.5" customHeight="1" x14ac:dyDescent="0.25">
      <c r="A29" s="271" t="s">
        <v>15</v>
      </c>
      <c r="B29" s="272"/>
      <c r="C29" s="273" t="e">
        <f>+IF(C17="완료",SUMPRODUCT((#REF!)*(#REF!&lt;=C$18)*(#REF!=$A29)),0)</f>
        <v>#REF!</v>
      </c>
      <c r="D29" s="326" t="e">
        <f>+IF(D17="완료",SUMPRODUCT((#REF!)*(#REF!&lt;=D$18)*(#REF!=$A29)),0)</f>
        <v>#REF!</v>
      </c>
      <c r="E29" s="326" t="e">
        <f>+IF(E17="완료",SUMPRODUCT((#REF!)*(#REF!&lt;=E$18)*(#REF!=$A29)),0)</f>
        <v>#REF!</v>
      </c>
      <c r="F29" s="326" t="e">
        <f>+IF(F17="완료",SUMPRODUCT((#REF!)*(#REF!&lt;=F$18)*(#REF!=$A29)),0)</f>
        <v>#REF!</v>
      </c>
      <c r="G29" s="326" t="e">
        <f>+IF(G17="완료",SUMPRODUCT((#REF!)*(#REF!&lt;=G$18)*(#REF!=$A29)),0)</f>
        <v>#REF!</v>
      </c>
      <c r="H29" s="326" t="e">
        <f>+IF(H17="완료",SUMPRODUCT((#REF!)*(#REF!&lt;=H$18)*(#REF!=$A29)),0)</f>
        <v>#REF!</v>
      </c>
      <c r="I29" s="326" t="e">
        <f>+IF(I17="완료",SUMPRODUCT((#REF!)*(#REF!&lt;=I$18)*(#REF!=$A29)),0)</f>
        <v>#REF!</v>
      </c>
      <c r="J29" s="326" t="e">
        <f>+IF(J17="완료",SUMPRODUCT((#REF!)*(#REF!&lt;=J$18)*(#REF!=$A29)),0)</f>
        <v>#REF!</v>
      </c>
      <c r="K29" s="326" t="e">
        <f>+IF(K17="완료",SUMPRODUCT((#REF!)*(#REF!&lt;=K$18)*(#REF!=$A29)),0)</f>
        <v>#REF!</v>
      </c>
      <c r="L29" s="326" t="e">
        <f>+IF(L17="완료",SUMPRODUCT((#REF!)*(#REF!&lt;=L$18)*(#REF!=$A29)),0)</f>
        <v>#REF!</v>
      </c>
      <c r="M29" s="274" t="e">
        <f t="shared" si="3"/>
        <v>#REF!</v>
      </c>
      <c r="N29" s="380"/>
      <c r="O29" s="381"/>
    </row>
    <row r="30" spans="1:16" ht="28.5" customHeight="1" x14ac:dyDescent="0.25">
      <c r="A30" s="264"/>
      <c r="B30" s="224" t="s">
        <v>133</v>
      </c>
      <c r="C30" s="228" t="e">
        <f t="shared" ref="C30:L30" si="7">+IF(C29=0,0,C29-C28)</f>
        <v>#REF!</v>
      </c>
      <c r="D30" s="327" t="e">
        <f t="shared" si="7"/>
        <v>#REF!</v>
      </c>
      <c r="E30" s="327" t="e">
        <f t="shared" si="7"/>
        <v>#REF!</v>
      </c>
      <c r="F30" s="327" t="e">
        <f t="shared" si="7"/>
        <v>#REF!</v>
      </c>
      <c r="G30" s="327" t="e">
        <f t="shared" si="7"/>
        <v>#REF!</v>
      </c>
      <c r="H30" s="327" t="e">
        <f t="shared" si="7"/>
        <v>#REF!</v>
      </c>
      <c r="I30" s="327" t="e">
        <f t="shared" si="7"/>
        <v>#REF!</v>
      </c>
      <c r="J30" s="327" t="e">
        <f t="shared" si="7"/>
        <v>#REF!</v>
      </c>
      <c r="K30" s="327" t="e">
        <f t="shared" si="7"/>
        <v>#REF!</v>
      </c>
      <c r="L30" s="327" t="e">
        <f t="shared" si="7"/>
        <v>#REF!</v>
      </c>
      <c r="M30" s="228" t="e">
        <f t="shared" si="3"/>
        <v>#REF!</v>
      </c>
      <c r="N30" s="382"/>
      <c r="O30" s="383"/>
    </row>
    <row r="31" spans="1:16" ht="28.5" customHeight="1" x14ac:dyDescent="0.25">
      <c r="A31" s="162"/>
      <c r="B31" s="275" t="s">
        <v>134</v>
      </c>
      <c r="C31" s="276" t="e">
        <f t="shared" ref="C31:L31" si="8">+IF(C29=0,0,C29-C25)</f>
        <v>#REF!</v>
      </c>
      <c r="D31" s="328" t="e">
        <f t="shared" si="8"/>
        <v>#REF!</v>
      </c>
      <c r="E31" s="328" t="e">
        <f t="shared" si="8"/>
        <v>#REF!</v>
      </c>
      <c r="F31" s="328" t="e">
        <f t="shared" si="8"/>
        <v>#REF!</v>
      </c>
      <c r="G31" s="328" t="e">
        <f t="shared" si="8"/>
        <v>#REF!</v>
      </c>
      <c r="H31" s="328" t="e">
        <f t="shared" si="8"/>
        <v>#REF!</v>
      </c>
      <c r="I31" s="328" t="e">
        <f t="shared" si="8"/>
        <v>#REF!</v>
      </c>
      <c r="J31" s="328" t="e">
        <f t="shared" si="8"/>
        <v>#REF!</v>
      </c>
      <c r="K31" s="328" t="e">
        <f t="shared" si="8"/>
        <v>#REF!</v>
      </c>
      <c r="L31" s="328" t="e">
        <f t="shared" si="8"/>
        <v>#REF!</v>
      </c>
      <c r="M31" s="276" t="e">
        <f t="shared" si="3"/>
        <v>#REF!</v>
      </c>
      <c r="N31" s="384"/>
      <c r="O31" s="385"/>
    </row>
    <row r="32" spans="1:16" ht="12" customHeight="1" x14ac:dyDescent="0.25"/>
    <row r="33" spans="1:15" ht="31.5" customHeight="1" x14ac:dyDescent="0.25">
      <c r="A33" s="261" t="s">
        <v>136</v>
      </c>
      <c r="M33" s="265" t="s">
        <v>127</v>
      </c>
      <c r="N33" s="265" t="s">
        <v>128</v>
      </c>
      <c r="O33" s="263" t="s">
        <v>117</v>
      </c>
    </row>
    <row r="34" spans="1:15" ht="31.5" customHeight="1" x14ac:dyDescent="0.25">
      <c r="A34" s="303" t="s">
        <v>123</v>
      </c>
      <c r="B34" s="304"/>
      <c r="C34" s="305">
        <v>2</v>
      </c>
      <c r="D34" s="305">
        <f t="shared" ref="D34:L34" si="9">+C34+2</f>
        <v>4</v>
      </c>
      <c r="E34" s="305">
        <f t="shared" si="9"/>
        <v>6</v>
      </c>
      <c r="F34" s="305">
        <f t="shared" si="9"/>
        <v>8</v>
      </c>
      <c r="G34" s="305">
        <f t="shared" si="9"/>
        <v>10</v>
      </c>
      <c r="H34" s="305">
        <f t="shared" si="9"/>
        <v>12</v>
      </c>
      <c r="I34" s="306">
        <f t="shared" si="9"/>
        <v>14</v>
      </c>
      <c r="J34" s="307">
        <f t="shared" si="9"/>
        <v>16</v>
      </c>
      <c r="K34" s="305">
        <f t="shared" si="9"/>
        <v>18</v>
      </c>
      <c r="L34" s="306">
        <f t="shared" si="9"/>
        <v>20</v>
      </c>
      <c r="M34" s="307" t="s">
        <v>125</v>
      </c>
      <c r="N34" s="305" t="s">
        <v>126</v>
      </c>
      <c r="O34" s="308" t="s">
        <v>129</v>
      </c>
    </row>
    <row r="35" spans="1:15" ht="31.5" customHeight="1" x14ac:dyDescent="0.25">
      <c r="A35" s="294" t="s">
        <v>115</v>
      </c>
      <c r="B35" s="244"/>
      <c r="C35" s="289" t="e">
        <f t="shared" ref="C35:L35" si="10">+SUMIFS(C$19:C$28,$N$19:$N$28,$A35)</f>
        <v>#REF!</v>
      </c>
      <c r="D35" s="289" t="e">
        <f t="shared" si="10"/>
        <v>#REF!</v>
      </c>
      <c r="E35" s="289" t="e">
        <f t="shared" si="10"/>
        <v>#REF!</v>
      </c>
      <c r="F35" s="289" t="e">
        <f t="shared" si="10"/>
        <v>#REF!</v>
      </c>
      <c r="G35" s="289" t="e">
        <f t="shared" si="10"/>
        <v>#REF!</v>
      </c>
      <c r="H35" s="289" t="e">
        <f t="shared" si="10"/>
        <v>#REF!</v>
      </c>
      <c r="I35" s="346" t="e">
        <f t="shared" si="10"/>
        <v>#REF!</v>
      </c>
      <c r="J35" s="297" t="e">
        <f t="shared" si="10"/>
        <v>#REF!</v>
      </c>
      <c r="K35" s="295" t="e">
        <f t="shared" si="10"/>
        <v>#REF!</v>
      </c>
      <c r="L35" s="296" t="e">
        <f t="shared" si="10"/>
        <v>#REF!</v>
      </c>
      <c r="M35" s="297" t="e">
        <f>+SUM(C35:F35)</f>
        <v>#REF!</v>
      </c>
      <c r="N35" s="289" t="e">
        <f>+SUM(G35:L35)</f>
        <v>#REF!</v>
      </c>
      <c r="O35" s="298" t="e">
        <f>+N35-M35</f>
        <v>#REF!</v>
      </c>
    </row>
    <row r="36" spans="1:15" ht="31.5" customHeight="1" x14ac:dyDescent="0.25">
      <c r="A36" s="269"/>
      <c r="B36" s="336" t="s">
        <v>121</v>
      </c>
      <c r="C36" s="337" t="e">
        <f t="shared" ref="C36:H36" si="11">+C35/$C35</f>
        <v>#REF!</v>
      </c>
      <c r="D36" s="337" t="e">
        <f t="shared" si="11"/>
        <v>#REF!</v>
      </c>
      <c r="E36" s="337" t="e">
        <f t="shared" si="11"/>
        <v>#REF!</v>
      </c>
      <c r="F36" s="337" t="e">
        <f t="shared" si="11"/>
        <v>#REF!</v>
      </c>
      <c r="G36" s="337" t="e">
        <f t="shared" si="11"/>
        <v>#REF!</v>
      </c>
      <c r="H36" s="337" t="e">
        <f t="shared" si="11"/>
        <v>#REF!</v>
      </c>
      <c r="I36" s="352" t="e">
        <f>+AVERAGE(I35:J35)/$C35</f>
        <v>#REF!</v>
      </c>
      <c r="J36" s="347" t="e">
        <f>+J35/$C35</f>
        <v>#REF!</v>
      </c>
      <c r="K36" s="241"/>
      <c r="L36" s="245"/>
      <c r="M36" s="248"/>
      <c r="N36" s="242"/>
      <c r="O36" s="361" t="e">
        <f>+O35/M35</f>
        <v>#REF!</v>
      </c>
    </row>
    <row r="37" spans="1:15" ht="31.5" customHeight="1" x14ac:dyDescent="0.25">
      <c r="A37" s="267" t="s">
        <v>113</v>
      </c>
      <c r="B37" s="243"/>
      <c r="C37" s="238" t="e">
        <f t="shared" ref="C37:L37" si="12">+SUMIFS(C$19:C$28,$N$19:$N$28,$A37)</f>
        <v>#REF!</v>
      </c>
      <c r="D37" s="238" t="e">
        <f t="shared" si="12"/>
        <v>#REF!</v>
      </c>
      <c r="E37" s="238" t="e">
        <f t="shared" si="12"/>
        <v>#REF!</v>
      </c>
      <c r="F37" s="238" t="e">
        <f t="shared" si="12"/>
        <v>#REF!</v>
      </c>
      <c r="G37" s="238" t="e">
        <f t="shared" si="12"/>
        <v>#REF!</v>
      </c>
      <c r="H37" s="238" t="e">
        <f t="shared" si="12"/>
        <v>#REF!</v>
      </c>
      <c r="I37" s="246" t="e">
        <f t="shared" si="12"/>
        <v>#REF!</v>
      </c>
      <c r="J37" s="247" t="e">
        <f t="shared" si="12"/>
        <v>#REF!</v>
      </c>
      <c r="K37" s="238" t="e">
        <f t="shared" si="12"/>
        <v>#REF!</v>
      </c>
      <c r="L37" s="246" t="e">
        <f t="shared" si="12"/>
        <v>#REF!</v>
      </c>
      <c r="M37" s="247" t="e">
        <f>+SUM(C37:F37)</f>
        <v>#REF!</v>
      </c>
      <c r="N37" s="238" t="e">
        <f>+SUM(G37:L37)</f>
        <v>#REF!</v>
      </c>
      <c r="O37" s="268" t="e">
        <f>+N37-M37</f>
        <v>#REF!</v>
      </c>
    </row>
    <row r="38" spans="1:15" ht="31.5" customHeight="1" x14ac:dyDescent="0.25">
      <c r="A38" s="269"/>
      <c r="B38" s="336" t="s">
        <v>121</v>
      </c>
      <c r="C38" s="337" t="e">
        <f t="shared" ref="C38:H38" si="13">+C37/$C37</f>
        <v>#REF!</v>
      </c>
      <c r="D38" s="337" t="e">
        <f t="shared" si="13"/>
        <v>#REF!</v>
      </c>
      <c r="E38" s="337" t="e">
        <f t="shared" si="13"/>
        <v>#REF!</v>
      </c>
      <c r="F38" s="337" t="e">
        <f t="shared" si="13"/>
        <v>#REF!</v>
      </c>
      <c r="G38" s="337" t="e">
        <f t="shared" si="13"/>
        <v>#REF!</v>
      </c>
      <c r="H38" s="337" t="e">
        <f t="shared" si="13"/>
        <v>#REF!</v>
      </c>
      <c r="I38" s="352" t="e">
        <f>+SUM(I37:L37)/$C37</f>
        <v>#REF!</v>
      </c>
      <c r="J38" s="347" t="e">
        <f>+J37/$C19</f>
        <v>#REF!</v>
      </c>
      <c r="K38" s="337" t="e">
        <f>+K37/$C19</f>
        <v>#REF!</v>
      </c>
      <c r="L38" s="340" t="e">
        <f>+L37/$C19</f>
        <v>#REF!</v>
      </c>
      <c r="M38" s="248"/>
      <c r="N38" s="242"/>
      <c r="O38" s="361" t="e">
        <f>+O37/M37</f>
        <v>#REF!</v>
      </c>
    </row>
    <row r="39" spans="1:15" ht="31.5" customHeight="1" x14ac:dyDescent="0.25">
      <c r="A39" s="267" t="s">
        <v>116</v>
      </c>
      <c r="B39" s="243"/>
      <c r="C39" s="238" t="e">
        <f t="shared" ref="C39:I39" si="14">+SUMIFS(C$19:C$28,$N$19:$N$28,$A39)</f>
        <v>#REF!</v>
      </c>
      <c r="D39" s="238" t="e">
        <f t="shared" si="14"/>
        <v>#REF!</v>
      </c>
      <c r="E39" s="238" t="e">
        <f t="shared" si="14"/>
        <v>#REF!</v>
      </c>
      <c r="F39" s="238" t="e">
        <f t="shared" si="14"/>
        <v>#REF!</v>
      </c>
      <c r="G39" s="238" t="e">
        <f t="shared" si="14"/>
        <v>#REF!</v>
      </c>
      <c r="H39" s="238" t="e">
        <f t="shared" si="14"/>
        <v>#REF!</v>
      </c>
      <c r="I39" s="246" t="e">
        <f t="shared" si="14"/>
        <v>#REF!</v>
      </c>
      <c r="J39" s="348"/>
      <c r="K39" s="241"/>
      <c r="L39" s="245"/>
      <c r="M39" s="247" t="e">
        <f>+SUM(C39:F39)</f>
        <v>#REF!</v>
      </c>
      <c r="N39" s="238" t="e">
        <f>+SUM(G39:L39)</f>
        <v>#REF!</v>
      </c>
      <c r="O39" s="268" t="e">
        <f>+N39-M39</f>
        <v>#REF!</v>
      </c>
    </row>
    <row r="40" spans="1:15" ht="31.5" customHeight="1" x14ac:dyDescent="0.25">
      <c r="A40" s="269"/>
      <c r="B40" s="336" t="s">
        <v>121</v>
      </c>
      <c r="C40" s="337" t="e">
        <f t="shared" ref="C40:I40" si="15">+C39/$C39</f>
        <v>#REF!</v>
      </c>
      <c r="D40" s="337" t="e">
        <f t="shared" si="15"/>
        <v>#REF!</v>
      </c>
      <c r="E40" s="337" t="e">
        <f t="shared" si="15"/>
        <v>#REF!</v>
      </c>
      <c r="F40" s="337" t="e">
        <f t="shared" si="15"/>
        <v>#REF!</v>
      </c>
      <c r="G40" s="337" t="e">
        <f t="shared" si="15"/>
        <v>#REF!</v>
      </c>
      <c r="H40" s="337" t="e">
        <f t="shared" si="15"/>
        <v>#REF!</v>
      </c>
      <c r="I40" s="340" t="e">
        <f t="shared" si="15"/>
        <v>#REF!</v>
      </c>
      <c r="J40" s="248"/>
      <c r="K40" s="241"/>
      <c r="L40" s="245"/>
      <c r="M40" s="248"/>
      <c r="N40" s="242"/>
      <c r="O40" s="361" t="e">
        <f>+O39/M39</f>
        <v>#REF!</v>
      </c>
    </row>
    <row r="41" spans="1:15" ht="31.5" customHeight="1" x14ac:dyDescent="0.25">
      <c r="A41" s="267" t="s">
        <v>140</v>
      </c>
      <c r="B41" s="243"/>
      <c r="C41" s="238" t="e">
        <f t="shared" ref="C41:J41" si="16">+C28</f>
        <v>#REF!</v>
      </c>
      <c r="D41" s="238" t="e">
        <f t="shared" si="16"/>
        <v>#REF!</v>
      </c>
      <c r="E41" s="238" t="e">
        <f t="shared" si="16"/>
        <v>#REF!</v>
      </c>
      <c r="F41" s="238" t="e">
        <f t="shared" si="16"/>
        <v>#REF!</v>
      </c>
      <c r="G41" s="238" t="e">
        <f t="shared" si="16"/>
        <v>#REF!</v>
      </c>
      <c r="H41" s="238" t="e">
        <f t="shared" si="16"/>
        <v>#REF!</v>
      </c>
      <c r="I41" s="246" t="e">
        <f t="shared" si="16"/>
        <v>#REF!</v>
      </c>
      <c r="J41" s="247" t="e">
        <f t="shared" si="16"/>
        <v>#REF!</v>
      </c>
      <c r="K41" s="241"/>
      <c r="L41" s="245"/>
      <c r="M41" s="247" t="e">
        <f>+SUM(C41:F41)</f>
        <v>#REF!</v>
      </c>
      <c r="N41" s="238" t="e">
        <f>+SUM(G41:L41)</f>
        <v>#REF!</v>
      </c>
      <c r="O41" s="268" t="e">
        <f>+N41-M41</f>
        <v>#REF!</v>
      </c>
    </row>
    <row r="42" spans="1:15" ht="31.5" customHeight="1" x14ac:dyDescent="0.25">
      <c r="A42" s="277"/>
      <c r="B42" s="338" t="s">
        <v>121</v>
      </c>
      <c r="C42" s="339" t="e">
        <f t="shared" ref="C42:J42" si="17">+C41/$C$41</f>
        <v>#REF!</v>
      </c>
      <c r="D42" s="339" t="e">
        <f t="shared" si="17"/>
        <v>#REF!</v>
      </c>
      <c r="E42" s="339" t="e">
        <f t="shared" si="17"/>
        <v>#REF!</v>
      </c>
      <c r="F42" s="339" t="e">
        <f t="shared" si="17"/>
        <v>#REF!</v>
      </c>
      <c r="G42" s="339" t="e">
        <f t="shared" si="17"/>
        <v>#REF!</v>
      </c>
      <c r="H42" s="339" t="e">
        <f t="shared" si="17"/>
        <v>#REF!</v>
      </c>
      <c r="I42" s="353" t="e">
        <f t="shared" si="17"/>
        <v>#REF!</v>
      </c>
      <c r="J42" s="349" t="e">
        <f t="shared" si="17"/>
        <v>#REF!</v>
      </c>
      <c r="K42" s="278"/>
      <c r="L42" s="279"/>
      <c r="M42" s="280"/>
      <c r="N42" s="281"/>
      <c r="O42" s="362" t="e">
        <f>+O41/M41</f>
        <v>#REF!</v>
      </c>
    </row>
    <row r="43" spans="1:15" ht="12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 ht="31.5" customHeight="1" x14ac:dyDescent="0.25">
      <c r="A44" s="261" t="s">
        <v>137</v>
      </c>
      <c r="C44" s="265" t="s">
        <v>131</v>
      </c>
      <c r="D44" s="333" t="s">
        <v>132</v>
      </c>
      <c r="E44" s="334" t="s">
        <v>132</v>
      </c>
      <c r="F44" s="334" t="s">
        <v>132</v>
      </c>
      <c r="G44" s="334" t="s">
        <v>132</v>
      </c>
      <c r="H44" s="334" t="s">
        <v>132</v>
      </c>
      <c r="I44" s="334" t="s">
        <v>132</v>
      </c>
      <c r="L44" s="265" t="s">
        <v>124</v>
      </c>
      <c r="O44" s="270" t="s">
        <v>135</v>
      </c>
    </row>
    <row r="45" spans="1:15" ht="31.5" customHeight="1" x14ac:dyDescent="0.25">
      <c r="A45" s="303" t="s">
        <v>123</v>
      </c>
      <c r="B45" s="304"/>
      <c r="C45" s="305">
        <v>2</v>
      </c>
      <c r="D45" s="305">
        <f t="shared" ref="D45:I45" si="18">+C45+2</f>
        <v>4</v>
      </c>
      <c r="E45" s="305">
        <f t="shared" si="18"/>
        <v>6</v>
      </c>
      <c r="F45" s="305">
        <f t="shared" si="18"/>
        <v>8</v>
      </c>
      <c r="G45" s="305">
        <f t="shared" si="18"/>
        <v>10</v>
      </c>
      <c r="H45" s="305">
        <f t="shared" si="18"/>
        <v>12</v>
      </c>
      <c r="I45" s="345">
        <f t="shared" si="18"/>
        <v>14</v>
      </c>
      <c r="J45" s="305" t="s">
        <v>142</v>
      </c>
      <c r="K45" s="305" t="s">
        <v>95</v>
      </c>
      <c r="L45" s="309" t="e">
        <f>+#REF!</f>
        <v>#REF!</v>
      </c>
      <c r="M45" s="310" t="s">
        <v>130</v>
      </c>
      <c r="N45" s="310"/>
      <c r="O45" s="311"/>
    </row>
    <row r="46" spans="1:15" ht="31.5" customHeight="1" x14ac:dyDescent="0.25">
      <c r="A46" s="269" t="s">
        <v>114</v>
      </c>
      <c r="B46" s="244"/>
      <c r="C46" s="289" t="e">
        <f>+C29</f>
        <v>#REF!</v>
      </c>
      <c r="D46" s="289" t="e">
        <f t="shared" ref="D46:I46" si="19">+$C46*D36</f>
        <v>#REF!</v>
      </c>
      <c r="E46" s="289" t="e">
        <f t="shared" si="19"/>
        <v>#REF!</v>
      </c>
      <c r="F46" s="289" t="e">
        <f t="shared" si="19"/>
        <v>#REF!</v>
      </c>
      <c r="G46" s="289" t="e">
        <f t="shared" si="19"/>
        <v>#REF!</v>
      </c>
      <c r="H46" s="289" t="e">
        <f t="shared" si="19"/>
        <v>#REF!</v>
      </c>
      <c r="I46" s="289" t="e">
        <f t="shared" si="19"/>
        <v>#REF!</v>
      </c>
      <c r="J46" s="350" t="e">
        <f>+SUM(C46:I46)</f>
        <v>#REF!</v>
      </c>
      <c r="K46" s="290" t="e">
        <f>+J46/$J$7</f>
        <v>#REF!</v>
      </c>
      <c r="L46" s="291" t="e">
        <f>+K46-#REF!</f>
        <v>#REF!</v>
      </c>
      <c r="M46" s="292" t="s">
        <v>144</v>
      </c>
      <c r="N46" s="293"/>
      <c r="O46" s="293"/>
    </row>
    <row r="47" spans="1:15" ht="31.5" customHeight="1" x14ac:dyDescent="0.25">
      <c r="A47" s="266" t="s">
        <v>120</v>
      </c>
      <c r="B47" s="243"/>
      <c r="C47" s="238" t="e">
        <f>+C46</f>
        <v>#REF!</v>
      </c>
      <c r="D47" s="238" t="e">
        <f>+$C47*D38</f>
        <v>#REF!</v>
      </c>
      <c r="E47" s="238" t="e">
        <f>+$C47*E38</f>
        <v>#REF!</v>
      </c>
      <c r="F47" s="238" t="e">
        <f>+$C47*F38</f>
        <v>#REF!</v>
      </c>
      <c r="G47" s="238" t="e">
        <f>+$C47*G38</f>
        <v>#REF!</v>
      </c>
      <c r="H47" s="238" t="e">
        <f>+$C47*H38</f>
        <v>#REF!</v>
      </c>
      <c r="I47" s="238" t="e">
        <f>+$C47*$I$38</f>
        <v>#REF!</v>
      </c>
      <c r="J47" s="9" t="e">
        <f>+SUM(C47:I47)</f>
        <v>#REF!</v>
      </c>
      <c r="K47" s="239" t="e">
        <f>+J47/$J$7</f>
        <v>#REF!</v>
      </c>
      <c r="L47" s="240" t="e">
        <f>+K47-#REF!</f>
        <v>#REF!</v>
      </c>
      <c r="M47" s="249" t="s">
        <v>144</v>
      </c>
      <c r="N47" s="250"/>
      <c r="O47" s="250"/>
    </row>
    <row r="48" spans="1:15" ht="31.5" customHeight="1" x14ac:dyDescent="0.25">
      <c r="A48" s="266" t="s">
        <v>122</v>
      </c>
      <c r="B48" s="243"/>
      <c r="C48" s="238" t="e">
        <f>+C47</f>
        <v>#REF!</v>
      </c>
      <c r="D48" s="238" t="e">
        <f t="shared" ref="D48:I48" si="20">+$C48*D40</f>
        <v>#REF!</v>
      </c>
      <c r="E48" s="238" t="e">
        <f t="shared" si="20"/>
        <v>#REF!</v>
      </c>
      <c r="F48" s="238" t="e">
        <f t="shared" si="20"/>
        <v>#REF!</v>
      </c>
      <c r="G48" s="238" t="e">
        <f t="shared" si="20"/>
        <v>#REF!</v>
      </c>
      <c r="H48" s="238" t="e">
        <f t="shared" si="20"/>
        <v>#REF!</v>
      </c>
      <c r="I48" s="238" t="e">
        <f t="shared" si="20"/>
        <v>#REF!</v>
      </c>
      <c r="J48" s="9" t="e">
        <f>+SUM(C48:I48)</f>
        <v>#REF!</v>
      </c>
      <c r="K48" s="239" t="e">
        <f>+J48/$J$7</f>
        <v>#REF!</v>
      </c>
      <c r="L48" s="240" t="e">
        <f>+K48-#REF!</f>
        <v>#REF!</v>
      </c>
      <c r="M48" s="249" t="s">
        <v>144</v>
      </c>
      <c r="N48" s="250"/>
      <c r="O48" s="250"/>
    </row>
    <row r="49" spans="1:15" ht="31.5" customHeight="1" x14ac:dyDescent="0.25">
      <c r="A49" s="282" t="s">
        <v>141</v>
      </c>
      <c r="B49" s="283"/>
      <c r="C49" s="284" t="e">
        <f>+C48</f>
        <v>#REF!</v>
      </c>
      <c r="D49" s="284" t="e">
        <f t="shared" ref="D49:I49" si="21">+D42*$C49</f>
        <v>#REF!</v>
      </c>
      <c r="E49" s="284" t="e">
        <f t="shared" si="21"/>
        <v>#REF!</v>
      </c>
      <c r="F49" s="284" t="e">
        <f t="shared" si="21"/>
        <v>#REF!</v>
      </c>
      <c r="G49" s="284" t="e">
        <f t="shared" si="21"/>
        <v>#REF!</v>
      </c>
      <c r="H49" s="284" t="e">
        <f t="shared" si="21"/>
        <v>#REF!</v>
      </c>
      <c r="I49" s="284" t="e">
        <f t="shared" si="21"/>
        <v>#REF!</v>
      </c>
      <c r="J49" s="351" t="e">
        <f>+SUM(C49:I49)</f>
        <v>#REF!</v>
      </c>
      <c r="K49" s="285" t="e">
        <f>+J49/$J$7</f>
        <v>#REF!</v>
      </c>
      <c r="L49" s="286" t="e">
        <f>+K49-#REF!</f>
        <v>#REF!</v>
      </c>
      <c r="M49" s="287" t="s">
        <v>144</v>
      </c>
      <c r="N49" s="288"/>
      <c r="O49" s="288"/>
    </row>
  </sheetData>
  <mergeCells count="21">
    <mergeCell ref="A19:A25"/>
    <mergeCell ref="A26:A28"/>
    <mergeCell ref="A5:C6"/>
    <mergeCell ref="N28:O28"/>
    <mergeCell ref="D11:G11"/>
    <mergeCell ref="H11:K11"/>
    <mergeCell ref="L11:O11"/>
    <mergeCell ref="O5:O6"/>
    <mergeCell ref="N29:O29"/>
    <mergeCell ref="N30:O30"/>
    <mergeCell ref="N31:O31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</mergeCells>
  <phoneticPr fontId="2" type="noConversion"/>
  <conditionalFormatting sqref="C19:L19">
    <cfRule type="aboveAverage" dxfId="16" priority="8"/>
  </conditionalFormatting>
  <conditionalFormatting sqref="C20:J20">
    <cfRule type="aboveAverage" dxfId="15" priority="7"/>
  </conditionalFormatting>
  <conditionalFormatting sqref="C21:J21">
    <cfRule type="aboveAverage" dxfId="14" priority="6"/>
  </conditionalFormatting>
  <conditionalFormatting sqref="C22:I22">
    <cfRule type="aboveAverage" dxfId="13" priority="5"/>
  </conditionalFormatting>
  <conditionalFormatting sqref="C23:I23">
    <cfRule type="aboveAverage" dxfId="12" priority="4"/>
  </conditionalFormatting>
  <conditionalFormatting sqref="C24:I24">
    <cfRule type="aboveAverage" dxfId="11" priority="3"/>
  </conditionalFormatting>
  <conditionalFormatting sqref="C26:I26">
    <cfRule type="aboveAverage" dxfId="10" priority="2"/>
  </conditionalFormatting>
  <conditionalFormatting sqref="C27:I27">
    <cfRule type="aboveAverage" dxfId="9" priority="1"/>
  </conditionalFormatting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76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C00000"/>
          <x14:colorLow rgb="FFD00000"/>
          <x14:sparklines>
            <x14:sparkline>
              <xm:f>주차별보고!C26:I26</xm:f>
              <xm:sqref>N26</xm:sqref>
            </x14:sparkline>
          </x14:sparklines>
        </x14:sparklineGroup>
        <x14:sparklineGroup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C00000"/>
          <x14:colorLow rgb="FFD00000"/>
          <x14:sparklines>
            <x14:sparkline>
              <xm:f>주차별보고!C24:I24</xm:f>
              <xm:sqref>N24</xm:sqref>
            </x14:sparkline>
          </x14:sparklines>
        </x14:sparklineGroup>
        <x14:sparklineGroup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C00000"/>
          <x14:colorLow rgb="FFD00000"/>
          <x14:sparklines>
            <x14:sparkline>
              <xm:f>주차별보고!C20:J20</xm:f>
              <xm:sqref>N20</xm:sqref>
            </x14:sparkline>
          </x14:sparklines>
        </x14:sparklineGroup>
        <x14:sparklineGroup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C00000"/>
          <x14:colorLow rgb="FFD00000"/>
          <x14:sparklines>
            <x14:sparkline>
              <xm:f>주차별보고!C22:I22</xm:f>
              <xm:sqref>N22</xm:sqref>
            </x14:sparkline>
          </x14:sparklines>
        </x14:sparklineGroup>
        <x14:sparklineGroup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7" tint="-0.499984740745262"/>
          <x14:colorLow rgb="FFD00000"/>
          <x14:sparklines>
            <x14:sparkline>
              <xm:f>주차별보고!C19:L19</xm:f>
              <xm:sqref>N19</xm:sqref>
            </x14:sparkline>
          </x14:sparklines>
        </x14:sparklineGroup>
        <x14:sparklineGroup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C00000"/>
          <x14:colorLow rgb="FFD00000"/>
          <x14:sparklines>
            <x14:sparkline>
              <xm:f>주차별보고!C23:I23</xm:f>
              <xm:sqref>N23</xm:sqref>
            </x14:sparkline>
          </x14:sparklines>
        </x14:sparklineGroup>
        <x14:sparklineGroup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C00000"/>
          <x14:colorLow rgb="FFD00000"/>
          <x14:sparklines>
            <x14:sparkline>
              <xm:f>주차별보고!C21:J21</xm:f>
              <xm:sqref>N21</xm:sqref>
            </x14:sparkline>
          </x14:sparklines>
        </x14:sparklineGroup>
        <x14:sparklineGroup displayEmptyCellsAs="gap" high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C00000"/>
          <x14:colorLow rgb="FFD00000"/>
          <x14:sparklines>
            <x14:sparkline>
              <xm:f>주차별보고!C27:J27</xm:f>
              <xm:sqref>N27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T20" sqref="T20"/>
    </sheetView>
  </sheetViews>
  <sheetFormatPr defaultRowHeight="12.75" x14ac:dyDescent="0.25"/>
  <sheetData>
    <row r="1" spans="1:1" x14ac:dyDescent="0.25">
      <c r="A1" t="s">
        <v>166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filterMode="1">
    <tabColor theme="2" tint="-0.89999084444715716"/>
  </sheetPr>
  <dimension ref="A2:S1581"/>
  <sheetViews>
    <sheetView showGridLines="0" tabSelected="1" workbookViewId="0">
      <pane xSplit="4" ySplit="2" topLeftCell="E1152" activePane="bottomRight" state="frozen"/>
      <selection pane="topRight" activeCell="E1" sqref="E1"/>
      <selection pane="bottomLeft" activeCell="A3" sqref="A3"/>
      <selection pane="bottomRight" activeCell="L1171" sqref="L1171"/>
    </sheetView>
  </sheetViews>
  <sheetFormatPr defaultColWidth="9.140625" defaultRowHeight="21.75" customHeight="1" x14ac:dyDescent="0.25"/>
  <cols>
    <col min="1" max="3" width="9.140625" style="1"/>
    <col min="4" max="4" width="16.42578125" style="1" customWidth="1"/>
    <col min="5" max="5" width="9.140625" style="6"/>
    <col min="6" max="6" width="9.140625" style="1"/>
    <col min="7" max="7" width="11.85546875" style="6" bestFit="1" customWidth="1"/>
    <col min="8" max="8" width="9.140625" style="6"/>
    <col min="9" max="9" width="9.140625" style="1"/>
    <col min="10" max="10" width="11.7109375" style="115" customWidth="1"/>
    <col min="11" max="12" width="11.7109375" style="1" customWidth="1"/>
    <col min="13" max="13" width="9.140625" style="1"/>
    <col min="14" max="14" width="13" style="366" customWidth="1"/>
    <col min="15" max="16384" width="9.140625" style="1"/>
  </cols>
  <sheetData>
    <row r="2" spans="1:19" ht="21.75" customHeight="1" x14ac:dyDescent="0.25">
      <c r="A2" s="4" t="s">
        <v>149</v>
      </c>
      <c r="B2" s="4" t="s">
        <v>150</v>
      </c>
      <c r="C2" s="4" t="s">
        <v>151</v>
      </c>
      <c r="D2" s="5" t="s">
        <v>0</v>
      </c>
      <c r="E2" s="8" t="s">
        <v>1</v>
      </c>
      <c r="F2" s="5" t="s">
        <v>2</v>
      </c>
      <c r="G2" s="7" t="s">
        <v>85</v>
      </c>
      <c r="H2" s="7" t="s">
        <v>86</v>
      </c>
      <c r="I2" s="2" t="s">
        <v>148</v>
      </c>
      <c r="J2" s="116" t="s">
        <v>156</v>
      </c>
      <c r="K2" s="2" t="s">
        <v>154</v>
      </c>
      <c r="L2" s="2" t="s">
        <v>155</v>
      </c>
      <c r="M2" s="2" t="s">
        <v>152</v>
      </c>
      <c r="N2" s="365" t="s">
        <v>153</v>
      </c>
    </row>
    <row r="3" spans="1:19" ht="21.75" hidden="1" customHeight="1" x14ac:dyDescent="0.25">
      <c r="A3" s="2">
        <v>2020</v>
      </c>
      <c r="B3" s="2">
        <v>10</v>
      </c>
      <c r="C3" s="2" t="s">
        <v>157</v>
      </c>
      <c r="D3" s="3">
        <v>44112</v>
      </c>
      <c r="E3" s="7">
        <v>899</v>
      </c>
      <c r="F3" s="2" t="s">
        <v>3</v>
      </c>
      <c r="G3" s="2">
        <v>13</v>
      </c>
      <c r="H3" s="7">
        <v>886</v>
      </c>
      <c r="I3" s="2">
        <v>1</v>
      </c>
      <c r="J3" s="116" t="str">
        <f t="shared" ref="J3:J66" si="0">+IF(OR(C3="토",C3="일"),"주말","평일")</f>
        <v>평일</v>
      </c>
      <c r="R3" s="2"/>
      <c r="S3" s="2"/>
    </row>
    <row r="4" spans="1:19" ht="21.75" hidden="1" customHeight="1" x14ac:dyDescent="0.25">
      <c r="A4" s="2">
        <v>2020</v>
      </c>
      <c r="B4" s="2">
        <v>10</v>
      </c>
      <c r="C4" s="2" t="s">
        <v>158</v>
      </c>
      <c r="D4" s="3">
        <v>44113</v>
      </c>
      <c r="E4" s="7">
        <v>1682</v>
      </c>
      <c r="F4" s="2" t="s">
        <v>3</v>
      </c>
      <c r="G4" s="2">
        <v>30</v>
      </c>
      <c r="H4" s="7">
        <v>1652</v>
      </c>
      <c r="I4" s="2">
        <v>2</v>
      </c>
      <c r="J4" s="116" t="str">
        <f t="shared" si="0"/>
        <v>평일</v>
      </c>
    </row>
    <row r="5" spans="1:19" ht="21.75" hidden="1" customHeight="1" x14ac:dyDescent="0.25">
      <c r="A5" s="2">
        <v>2020</v>
      </c>
      <c r="B5" s="2">
        <v>10</v>
      </c>
      <c r="C5" s="2" t="s">
        <v>159</v>
      </c>
      <c r="D5" s="3">
        <v>44114</v>
      </c>
      <c r="E5" s="7">
        <v>1564</v>
      </c>
      <c r="F5" s="2" t="s">
        <v>3</v>
      </c>
      <c r="G5" s="2">
        <v>25</v>
      </c>
      <c r="H5" s="7">
        <v>1539</v>
      </c>
      <c r="I5" s="2">
        <v>3</v>
      </c>
      <c r="J5" s="116" t="str">
        <f t="shared" si="0"/>
        <v>주말</v>
      </c>
    </row>
    <row r="6" spans="1:19" ht="21.75" hidden="1" customHeight="1" x14ac:dyDescent="0.25">
      <c r="A6" s="2">
        <v>2020</v>
      </c>
      <c r="B6" s="2">
        <v>10</v>
      </c>
      <c r="C6" s="2" t="s">
        <v>160</v>
      </c>
      <c r="D6" s="3">
        <v>44115</v>
      </c>
      <c r="E6" s="7">
        <v>1409</v>
      </c>
      <c r="F6" s="2" t="s">
        <v>3</v>
      </c>
      <c r="G6" s="2">
        <v>19</v>
      </c>
      <c r="H6" s="7">
        <v>1390</v>
      </c>
      <c r="I6" s="2">
        <v>4</v>
      </c>
      <c r="J6" s="116" t="str">
        <f t="shared" si="0"/>
        <v>주말</v>
      </c>
    </row>
    <row r="7" spans="1:19" ht="21.75" hidden="1" customHeight="1" x14ac:dyDescent="0.25">
      <c r="A7" s="2">
        <v>2020</v>
      </c>
      <c r="B7" s="2">
        <v>10</v>
      </c>
      <c r="C7" s="2" t="s">
        <v>161</v>
      </c>
      <c r="D7" s="3">
        <v>44116</v>
      </c>
      <c r="E7" s="7">
        <v>614</v>
      </c>
      <c r="F7" s="2" t="s">
        <v>3</v>
      </c>
      <c r="G7" s="2">
        <v>0</v>
      </c>
      <c r="H7" s="7">
        <v>614</v>
      </c>
      <c r="I7" s="2">
        <v>5</v>
      </c>
      <c r="J7" s="116" t="str">
        <f t="shared" si="0"/>
        <v>평일</v>
      </c>
    </row>
    <row r="8" spans="1:19" ht="21.75" hidden="1" customHeight="1" x14ac:dyDescent="0.25">
      <c r="A8" s="2">
        <v>2020</v>
      </c>
      <c r="B8" s="2">
        <v>10</v>
      </c>
      <c r="C8" s="2" t="s">
        <v>162</v>
      </c>
      <c r="D8" s="3">
        <v>44117</v>
      </c>
      <c r="E8" s="7">
        <v>614</v>
      </c>
      <c r="F8" s="2" t="s">
        <v>3</v>
      </c>
      <c r="G8" s="2">
        <v>16</v>
      </c>
      <c r="H8" s="7">
        <v>598</v>
      </c>
      <c r="I8" s="2">
        <v>6</v>
      </c>
      <c r="J8" s="116" t="str">
        <f t="shared" si="0"/>
        <v>평일</v>
      </c>
    </row>
    <row r="9" spans="1:19" ht="21.75" hidden="1" customHeight="1" x14ac:dyDescent="0.25">
      <c r="A9" s="2">
        <v>2020</v>
      </c>
      <c r="B9" s="2">
        <v>10</v>
      </c>
      <c r="C9" s="2" t="s">
        <v>163</v>
      </c>
      <c r="D9" s="3">
        <v>44118</v>
      </c>
      <c r="E9" s="7">
        <v>727</v>
      </c>
      <c r="F9" s="2" t="s">
        <v>3</v>
      </c>
      <c r="G9" s="2">
        <v>15</v>
      </c>
      <c r="H9" s="7">
        <v>712</v>
      </c>
      <c r="I9" s="2">
        <v>7</v>
      </c>
      <c r="J9" s="116" t="str">
        <f t="shared" si="0"/>
        <v>평일</v>
      </c>
    </row>
    <row r="10" spans="1:19" ht="21.75" hidden="1" customHeight="1" x14ac:dyDescent="0.25">
      <c r="A10" s="2">
        <v>2020</v>
      </c>
      <c r="B10" s="2">
        <v>10</v>
      </c>
      <c r="C10" s="2" t="s">
        <v>157</v>
      </c>
      <c r="D10" s="3">
        <v>44119</v>
      </c>
      <c r="E10" s="7">
        <v>630</v>
      </c>
      <c r="F10" s="2" t="s">
        <v>3</v>
      </c>
      <c r="G10" s="2">
        <v>30</v>
      </c>
      <c r="H10" s="7">
        <v>600</v>
      </c>
      <c r="I10" s="2">
        <v>8</v>
      </c>
      <c r="J10" s="116" t="str">
        <f t="shared" si="0"/>
        <v>평일</v>
      </c>
    </row>
    <row r="11" spans="1:19" ht="21.75" hidden="1" customHeight="1" x14ac:dyDescent="0.25">
      <c r="A11" s="2">
        <v>2020</v>
      </c>
      <c r="B11" s="2">
        <v>10</v>
      </c>
      <c r="C11" s="2" t="s">
        <v>158</v>
      </c>
      <c r="D11" s="3">
        <v>44120</v>
      </c>
      <c r="E11" s="7">
        <v>659</v>
      </c>
      <c r="F11" s="2" t="s">
        <v>3</v>
      </c>
      <c r="G11" s="2">
        <v>22</v>
      </c>
      <c r="H11" s="7">
        <v>637</v>
      </c>
      <c r="I11" s="2">
        <v>9</v>
      </c>
      <c r="J11" s="116" t="str">
        <f t="shared" si="0"/>
        <v>평일</v>
      </c>
    </row>
    <row r="12" spans="1:19" ht="21.75" hidden="1" customHeight="1" x14ac:dyDescent="0.25">
      <c r="A12" s="2">
        <v>2020</v>
      </c>
      <c r="B12" s="2">
        <v>10</v>
      </c>
      <c r="C12" s="2" t="s">
        <v>159</v>
      </c>
      <c r="D12" s="3">
        <v>44121</v>
      </c>
      <c r="E12" s="7">
        <v>1752</v>
      </c>
      <c r="F12" s="2" t="s">
        <v>3</v>
      </c>
      <c r="G12" s="2">
        <v>40</v>
      </c>
      <c r="H12" s="7">
        <v>1712</v>
      </c>
      <c r="I12" s="2">
        <v>10</v>
      </c>
      <c r="J12" s="116" t="str">
        <f t="shared" si="0"/>
        <v>주말</v>
      </c>
    </row>
    <row r="13" spans="1:19" ht="21.75" hidden="1" customHeight="1" x14ac:dyDescent="0.25">
      <c r="A13" s="2">
        <v>2020</v>
      </c>
      <c r="B13" s="2">
        <v>10</v>
      </c>
      <c r="C13" s="2" t="s">
        <v>160</v>
      </c>
      <c r="D13" s="3">
        <v>44122</v>
      </c>
      <c r="E13" s="7">
        <v>1355</v>
      </c>
      <c r="F13" s="2" t="s">
        <v>3</v>
      </c>
      <c r="G13" s="2">
        <v>22</v>
      </c>
      <c r="H13" s="7">
        <v>1333</v>
      </c>
      <c r="I13" s="2">
        <v>11</v>
      </c>
      <c r="J13" s="116" t="str">
        <f t="shared" si="0"/>
        <v>주말</v>
      </c>
    </row>
    <row r="14" spans="1:19" ht="21.75" hidden="1" customHeight="1" x14ac:dyDescent="0.25">
      <c r="A14" s="2">
        <v>2020</v>
      </c>
      <c r="B14" s="2">
        <v>10</v>
      </c>
      <c r="C14" s="2" t="s">
        <v>161</v>
      </c>
      <c r="D14" s="3">
        <v>44123</v>
      </c>
      <c r="E14" s="7">
        <v>540</v>
      </c>
      <c r="F14" s="2" t="s">
        <v>3</v>
      </c>
      <c r="G14" s="2">
        <v>15</v>
      </c>
      <c r="H14" s="7">
        <v>525</v>
      </c>
      <c r="I14" s="2">
        <v>12</v>
      </c>
      <c r="J14" s="116" t="str">
        <f t="shared" si="0"/>
        <v>평일</v>
      </c>
    </row>
    <row r="15" spans="1:19" ht="21.75" hidden="1" customHeight="1" x14ac:dyDescent="0.25">
      <c r="A15" s="2">
        <v>2020</v>
      </c>
      <c r="B15" s="2">
        <v>10</v>
      </c>
      <c r="C15" s="2" t="s">
        <v>162</v>
      </c>
      <c r="D15" s="3">
        <v>44124</v>
      </c>
      <c r="E15" s="7">
        <v>547</v>
      </c>
      <c r="F15" s="2" t="s">
        <v>3</v>
      </c>
      <c r="G15" s="2">
        <v>20</v>
      </c>
      <c r="H15" s="7">
        <v>527</v>
      </c>
      <c r="I15" s="2">
        <v>13</v>
      </c>
      <c r="J15" s="116" t="str">
        <f t="shared" si="0"/>
        <v>평일</v>
      </c>
    </row>
    <row r="16" spans="1:19" ht="21.75" hidden="1" customHeight="1" x14ac:dyDescent="0.25">
      <c r="A16" s="2">
        <v>2020</v>
      </c>
      <c r="B16" s="2">
        <v>10</v>
      </c>
      <c r="C16" s="2" t="s">
        <v>163</v>
      </c>
      <c r="D16" s="3">
        <v>44125</v>
      </c>
      <c r="E16" s="7">
        <v>572</v>
      </c>
      <c r="F16" s="2" t="s">
        <v>3</v>
      </c>
      <c r="G16" s="2">
        <v>26</v>
      </c>
      <c r="H16" s="7">
        <v>546</v>
      </c>
      <c r="I16" s="2">
        <v>14</v>
      </c>
      <c r="J16" s="116" t="str">
        <f t="shared" si="0"/>
        <v>평일</v>
      </c>
    </row>
    <row r="17" spans="1:10" ht="21.75" hidden="1" customHeight="1" x14ac:dyDescent="0.25">
      <c r="A17" s="2">
        <v>2020</v>
      </c>
      <c r="B17" s="2">
        <v>10</v>
      </c>
      <c r="C17" s="2" t="s">
        <v>157</v>
      </c>
      <c r="D17" s="3">
        <v>44126</v>
      </c>
      <c r="E17" s="7">
        <v>450</v>
      </c>
      <c r="F17" s="2" t="s">
        <v>3</v>
      </c>
      <c r="G17" s="2">
        <v>24</v>
      </c>
      <c r="H17" s="7">
        <v>426</v>
      </c>
      <c r="I17" s="2">
        <v>15</v>
      </c>
      <c r="J17" s="116" t="str">
        <f t="shared" si="0"/>
        <v>평일</v>
      </c>
    </row>
    <row r="18" spans="1:10" ht="21.75" hidden="1" customHeight="1" x14ac:dyDescent="0.25">
      <c r="A18" s="2">
        <v>2020</v>
      </c>
      <c r="B18" s="2">
        <v>10</v>
      </c>
      <c r="C18" s="2" t="s">
        <v>158</v>
      </c>
      <c r="D18" s="3">
        <v>44127</v>
      </c>
      <c r="E18" s="7">
        <v>676</v>
      </c>
      <c r="F18" s="2" t="s">
        <v>3</v>
      </c>
      <c r="G18" s="2">
        <v>40</v>
      </c>
      <c r="H18" s="7">
        <v>636</v>
      </c>
      <c r="I18" s="2">
        <v>16</v>
      </c>
      <c r="J18" s="116" t="str">
        <f t="shared" si="0"/>
        <v>평일</v>
      </c>
    </row>
    <row r="19" spans="1:10" ht="21.75" hidden="1" customHeight="1" x14ac:dyDescent="0.25">
      <c r="A19" s="2">
        <v>2020</v>
      </c>
      <c r="B19" s="2">
        <v>10</v>
      </c>
      <c r="C19" s="2" t="s">
        <v>159</v>
      </c>
      <c r="D19" s="3">
        <v>44128</v>
      </c>
      <c r="E19" s="7">
        <v>1741</v>
      </c>
      <c r="F19" s="2" t="s">
        <v>3</v>
      </c>
      <c r="G19" s="2">
        <v>44</v>
      </c>
      <c r="H19" s="7">
        <v>1697</v>
      </c>
      <c r="I19" s="2">
        <v>17</v>
      </c>
      <c r="J19" s="116" t="str">
        <f t="shared" si="0"/>
        <v>주말</v>
      </c>
    </row>
    <row r="20" spans="1:10" ht="21.75" hidden="1" customHeight="1" x14ac:dyDescent="0.25">
      <c r="A20" s="2">
        <v>2020</v>
      </c>
      <c r="B20" s="2">
        <v>10</v>
      </c>
      <c r="C20" s="2" t="s">
        <v>160</v>
      </c>
      <c r="D20" s="3">
        <v>44129</v>
      </c>
      <c r="E20" s="7">
        <v>1210</v>
      </c>
      <c r="F20" s="2" t="s">
        <v>3</v>
      </c>
      <c r="G20" s="2">
        <v>40</v>
      </c>
      <c r="H20" s="7">
        <v>1170</v>
      </c>
      <c r="I20" s="2">
        <v>18</v>
      </c>
      <c r="J20" s="116" t="str">
        <f t="shared" si="0"/>
        <v>주말</v>
      </c>
    </row>
    <row r="21" spans="1:10" ht="21.75" hidden="1" customHeight="1" x14ac:dyDescent="0.25">
      <c r="A21" s="2">
        <v>2020</v>
      </c>
      <c r="B21" s="2">
        <v>10</v>
      </c>
      <c r="C21" s="2" t="s">
        <v>161</v>
      </c>
      <c r="D21" s="3">
        <v>44130</v>
      </c>
      <c r="E21" s="7">
        <v>649</v>
      </c>
      <c r="F21" s="2" t="s">
        <v>3</v>
      </c>
      <c r="G21" s="2">
        <v>23</v>
      </c>
      <c r="H21" s="7">
        <v>626</v>
      </c>
      <c r="I21" s="2">
        <v>19</v>
      </c>
      <c r="J21" s="116" t="str">
        <f t="shared" si="0"/>
        <v>평일</v>
      </c>
    </row>
    <row r="22" spans="1:10" ht="21.75" hidden="1" customHeight="1" x14ac:dyDescent="0.25">
      <c r="A22" s="2">
        <v>2020</v>
      </c>
      <c r="B22" s="2">
        <v>10</v>
      </c>
      <c r="C22" s="2" t="s">
        <v>162</v>
      </c>
      <c r="D22" s="3">
        <v>44131</v>
      </c>
      <c r="E22" s="7">
        <v>491</v>
      </c>
      <c r="F22" s="2" t="s">
        <v>3</v>
      </c>
      <c r="G22" s="2">
        <v>25</v>
      </c>
      <c r="H22" s="7">
        <v>466</v>
      </c>
      <c r="I22" s="2">
        <v>20</v>
      </c>
      <c r="J22" s="116" t="str">
        <f t="shared" si="0"/>
        <v>평일</v>
      </c>
    </row>
    <row r="23" spans="1:10" ht="21.75" hidden="1" customHeight="1" x14ac:dyDescent="0.25">
      <c r="A23" s="2">
        <v>2020</v>
      </c>
      <c r="B23" s="2">
        <v>10</v>
      </c>
      <c r="C23" s="2" t="s">
        <v>163</v>
      </c>
      <c r="D23" s="3">
        <v>44132</v>
      </c>
      <c r="E23" s="7">
        <v>694</v>
      </c>
      <c r="F23" s="2" t="s">
        <v>3</v>
      </c>
      <c r="G23" s="2">
        <v>26</v>
      </c>
      <c r="H23" s="7">
        <v>668</v>
      </c>
      <c r="I23" s="2">
        <v>21</v>
      </c>
      <c r="J23" s="116" t="str">
        <f t="shared" si="0"/>
        <v>평일</v>
      </c>
    </row>
    <row r="24" spans="1:10" ht="21.75" hidden="1" customHeight="1" x14ac:dyDescent="0.25">
      <c r="A24" s="2">
        <v>2020</v>
      </c>
      <c r="B24" s="2">
        <v>10</v>
      </c>
      <c r="C24" s="2" t="s">
        <v>157</v>
      </c>
      <c r="D24" s="3">
        <v>44133</v>
      </c>
      <c r="E24" s="7">
        <v>558</v>
      </c>
      <c r="F24" s="2" t="s">
        <v>3</v>
      </c>
      <c r="G24" s="2">
        <v>17</v>
      </c>
      <c r="H24" s="7">
        <v>541</v>
      </c>
      <c r="I24" s="2">
        <v>22</v>
      </c>
      <c r="J24" s="116" t="str">
        <f t="shared" si="0"/>
        <v>평일</v>
      </c>
    </row>
    <row r="25" spans="1:10" ht="21.75" hidden="1" customHeight="1" x14ac:dyDescent="0.25">
      <c r="A25" s="2">
        <v>2020</v>
      </c>
      <c r="B25" s="2">
        <v>10</v>
      </c>
      <c r="C25" s="2" t="s">
        <v>158</v>
      </c>
      <c r="D25" s="3">
        <v>44134</v>
      </c>
      <c r="E25" s="7">
        <v>765</v>
      </c>
      <c r="F25" s="2" t="s">
        <v>3</v>
      </c>
      <c r="G25" s="2">
        <v>32</v>
      </c>
      <c r="H25" s="7">
        <v>733</v>
      </c>
      <c r="I25" s="2">
        <v>23</v>
      </c>
      <c r="J25" s="116" t="str">
        <f t="shared" si="0"/>
        <v>평일</v>
      </c>
    </row>
    <row r="26" spans="1:10" ht="21.75" hidden="1" customHeight="1" x14ac:dyDescent="0.25">
      <c r="A26" s="2">
        <v>2020</v>
      </c>
      <c r="B26" s="2">
        <v>10</v>
      </c>
      <c r="C26" s="2" t="s">
        <v>159</v>
      </c>
      <c r="D26" s="3">
        <v>44135</v>
      </c>
      <c r="E26" s="7">
        <v>1617</v>
      </c>
      <c r="F26" s="2" t="s">
        <v>3</v>
      </c>
      <c r="G26" s="2">
        <v>52</v>
      </c>
      <c r="H26" s="7">
        <v>1565</v>
      </c>
      <c r="I26" s="2">
        <v>24</v>
      </c>
      <c r="J26" s="116" t="str">
        <f t="shared" si="0"/>
        <v>주말</v>
      </c>
    </row>
    <row r="27" spans="1:10" ht="21.75" hidden="1" customHeight="1" x14ac:dyDescent="0.25">
      <c r="A27" s="2">
        <v>2020</v>
      </c>
      <c r="B27" s="2">
        <v>11</v>
      </c>
      <c r="C27" s="2" t="s">
        <v>160</v>
      </c>
      <c r="D27" s="3">
        <v>44136</v>
      </c>
      <c r="E27" s="7">
        <v>1241</v>
      </c>
      <c r="F27" s="2" t="s">
        <v>3</v>
      </c>
      <c r="G27" s="2">
        <v>35</v>
      </c>
      <c r="H27" s="7">
        <v>1206</v>
      </c>
      <c r="I27" s="2">
        <v>25</v>
      </c>
      <c r="J27" s="116" t="str">
        <f t="shared" si="0"/>
        <v>주말</v>
      </c>
    </row>
    <row r="28" spans="1:10" ht="21.75" hidden="1" customHeight="1" x14ac:dyDescent="0.25">
      <c r="A28" s="2">
        <v>2020</v>
      </c>
      <c r="B28" s="2">
        <v>11</v>
      </c>
      <c r="C28" s="2" t="s">
        <v>161</v>
      </c>
      <c r="D28" s="3">
        <v>44137</v>
      </c>
      <c r="E28" s="7">
        <v>480</v>
      </c>
      <c r="F28" s="2" t="s">
        <v>3</v>
      </c>
      <c r="G28" s="2">
        <v>13</v>
      </c>
      <c r="H28" s="7">
        <v>467</v>
      </c>
      <c r="I28" s="2">
        <v>26</v>
      </c>
      <c r="J28" s="116" t="str">
        <f t="shared" si="0"/>
        <v>평일</v>
      </c>
    </row>
    <row r="29" spans="1:10" ht="21.75" hidden="1" customHeight="1" x14ac:dyDescent="0.25">
      <c r="A29" s="2">
        <v>2020</v>
      </c>
      <c r="B29" s="2">
        <v>11</v>
      </c>
      <c r="C29" s="2" t="s">
        <v>162</v>
      </c>
      <c r="D29" s="3">
        <v>44138</v>
      </c>
      <c r="E29" s="7">
        <v>566</v>
      </c>
      <c r="F29" s="2" t="s">
        <v>3</v>
      </c>
      <c r="G29" s="2">
        <v>30</v>
      </c>
      <c r="H29" s="7">
        <v>536</v>
      </c>
      <c r="I29" s="2">
        <v>27</v>
      </c>
      <c r="J29" s="116" t="str">
        <f t="shared" si="0"/>
        <v>평일</v>
      </c>
    </row>
    <row r="30" spans="1:10" ht="21.75" hidden="1" customHeight="1" x14ac:dyDescent="0.25">
      <c r="A30" s="2">
        <v>2020</v>
      </c>
      <c r="B30" s="2">
        <v>11</v>
      </c>
      <c r="C30" s="2" t="s">
        <v>163</v>
      </c>
      <c r="D30" s="3">
        <v>44139</v>
      </c>
      <c r="E30" s="7">
        <v>616</v>
      </c>
      <c r="F30" s="2" t="s">
        <v>3</v>
      </c>
      <c r="G30" s="2">
        <v>14</v>
      </c>
      <c r="H30" s="7">
        <v>602</v>
      </c>
      <c r="I30" s="2">
        <v>28</v>
      </c>
      <c r="J30" s="116" t="str">
        <f t="shared" si="0"/>
        <v>평일</v>
      </c>
    </row>
    <row r="31" spans="1:10" ht="21.75" hidden="1" customHeight="1" x14ac:dyDescent="0.25">
      <c r="A31" s="2">
        <v>2020</v>
      </c>
      <c r="B31" s="2">
        <v>11</v>
      </c>
      <c r="C31" s="2" t="s">
        <v>157</v>
      </c>
      <c r="D31" s="3">
        <v>44140</v>
      </c>
      <c r="E31" s="7">
        <v>549</v>
      </c>
      <c r="F31" s="2" t="s">
        <v>3</v>
      </c>
      <c r="G31" s="2">
        <v>17</v>
      </c>
      <c r="H31" s="7">
        <v>532</v>
      </c>
      <c r="I31" s="2">
        <v>29</v>
      </c>
      <c r="J31" s="116" t="str">
        <f t="shared" si="0"/>
        <v>평일</v>
      </c>
    </row>
    <row r="32" spans="1:10" ht="21.75" hidden="1" customHeight="1" x14ac:dyDescent="0.25">
      <c r="A32" s="2">
        <v>2020</v>
      </c>
      <c r="B32" s="2">
        <v>11</v>
      </c>
      <c r="C32" s="2" t="s">
        <v>158</v>
      </c>
      <c r="D32" s="3">
        <v>44141</v>
      </c>
      <c r="E32" s="7">
        <v>740</v>
      </c>
      <c r="F32" s="2" t="s">
        <v>3</v>
      </c>
      <c r="G32" s="2">
        <v>22</v>
      </c>
      <c r="H32" s="7">
        <v>718</v>
      </c>
      <c r="I32" s="2">
        <v>30</v>
      </c>
      <c r="J32" s="116" t="str">
        <f t="shared" si="0"/>
        <v>평일</v>
      </c>
    </row>
    <row r="33" spans="1:10" ht="21.75" hidden="1" customHeight="1" x14ac:dyDescent="0.25">
      <c r="A33" s="2">
        <v>2020</v>
      </c>
      <c r="B33" s="2">
        <v>11</v>
      </c>
      <c r="C33" s="2" t="s">
        <v>159</v>
      </c>
      <c r="D33" s="3">
        <v>44142</v>
      </c>
      <c r="E33" s="7">
        <v>1556</v>
      </c>
      <c r="F33" s="2" t="s">
        <v>3</v>
      </c>
      <c r="G33" s="2">
        <v>41</v>
      </c>
      <c r="H33" s="7">
        <v>1515</v>
      </c>
      <c r="I33" s="2">
        <v>31</v>
      </c>
      <c r="J33" s="116" t="str">
        <f t="shared" si="0"/>
        <v>주말</v>
      </c>
    </row>
    <row r="34" spans="1:10" ht="21.75" hidden="1" customHeight="1" x14ac:dyDescent="0.25">
      <c r="A34" s="2">
        <v>2020</v>
      </c>
      <c r="B34" s="2">
        <v>11</v>
      </c>
      <c r="C34" s="2" t="s">
        <v>160</v>
      </c>
      <c r="D34" s="3">
        <v>44143</v>
      </c>
      <c r="E34" s="7">
        <v>1267</v>
      </c>
      <c r="F34" s="2" t="s">
        <v>3</v>
      </c>
      <c r="G34" s="2">
        <v>53</v>
      </c>
      <c r="H34" s="7">
        <v>1214</v>
      </c>
      <c r="I34" s="2">
        <v>32</v>
      </c>
      <c r="J34" s="116" t="str">
        <f t="shared" si="0"/>
        <v>주말</v>
      </c>
    </row>
    <row r="35" spans="1:10" ht="21.75" hidden="1" customHeight="1" x14ac:dyDescent="0.25">
      <c r="A35" s="2">
        <v>2020</v>
      </c>
      <c r="B35" s="2">
        <v>11</v>
      </c>
      <c r="C35" s="2" t="s">
        <v>161</v>
      </c>
      <c r="D35" s="3">
        <v>44144</v>
      </c>
      <c r="E35" s="7">
        <v>719</v>
      </c>
      <c r="F35" s="2" t="s">
        <v>3</v>
      </c>
      <c r="G35" s="2">
        <v>17</v>
      </c>
      <c r="H35" s="7">
        <v>702</v>
      </c>
      <c r="I35" s="2">
        <v>33</v>
      </c>
      <c r="J35" s="116" t="str">
        <f t="shared" si="0"/>
        <v>평일</v>
      </c>
    </row>
    <row r="36" spans="1:10" ht="21.75" hidden="1" customHeight="1" x14ac:dyDescent="0.25">
      <c r="A36" s="2">
        <v>2020</v>
      </c>
      <c r="B36" s="2">
        <v>11</v>
      </c>
      <c r="C36" s="2" t="s">
        <v>162</v>
      </c>
      <c r="D36" s="3">
        <v>44145</v>
      </c>
      <c r="E36" s="7">
        <v>500</v>
      </c>
      <c r="F36" s="2" t="s">
        <v>3</v>
      </c>
      <c r="G36" s="2">
        <v>22</v>
      </c>
      <c r="H36" s="7">
        <v>478</v>
      </c>
      <c r="I36" s="2">
        <v>34</v>
      </c>
      <c r="J36" s="116" t="str">
        <f t="shared" si="0"/>
        <v>평일</v>
      </c>
    </row>
    <row r="37" spans="1:10" ht="21.75" hidden="1" customHeight="1" x14ac:dyDescent="0.25">
      <c r="A37" s="2">
        <v>2020</v>
      </c>
      <c r="B37" s="2">
        <v>11</v>
      </c>
      <c r="C37" s="2" t="s">
        <v>163</v>
      </c>
      <c r="D37" s="3">
        <v>44146</v>
      </c>
      <c r="E37" s="7">
        <v>715</v>
      </c>
      <c r="F37" s="2" t="s">
        <v>3</v>
      </c>
      <c r="G37" s="2">
        <v>21</v>
      </c>
      <c r="H37" s="7">
        <v>694</v>
      </c>
      <c r="I37" s="2">
        <v>35</v>
      </c>
      <c r="J37" s="116" t="str">
        <f t="shared" si="0"/>
        <v>평일</v>
      </c>
    </row>
    <row r="38" spans="1:10" ht="21.75" hidden="1" customHeight="1" x14ac:dyDescent="0.25">
      <c r="A38" s="2">
        <v>2020</v>
      </c>
      <c r="B38" s="2">
        <v>11</v>
      </c>
      <c r="C38" s="2" t="s">
        <v>157</v>
      </c>
      <c r="D38" s="3">
        <v>44147</v>
      </c>
      <c r="E38" s="7">
        <v>606</v>
      </c>
      <c r="F38" s="2" t="s">
        <v>3</v>
      </c>
      <c r="G38" s="2">
        <v>40</v>
      </c>
      <c r="H38" s="7">
        <v>566</v>
      </c>
      <c r="I38" s="2">
        <v>36</v>
      </c>
      <c r="J38" s="116" t="str">
        <f t="shared" si="0"/>
        <v>평일</v>
      </c>
    </row>
    <row r="39" spans="1:10" ht="21.75" hidden="1" customHeight="1" x14ac:dyDescent="0.25">
      <c r="A39" s="2">
        <v>2020</v>
      </c>
      <c r="B39" s="2">
        <v>11</v>
      </c>
      <c r="C39" s="2" t="s">
        <v>158</v>
      </c>
      <c r="D39" s="3">
        <v>44148</v>
      </c>
      <c r="E39" s="7">
        <v>985</v>
      </c>
      <c r="F39" s="2" t="s">
        <v>3</v>
      </c>
      <c r="G39" s="2">
        <v>26</v>
      </c>
      <c r="H39" s="7">
        <v>959</v>
      </c>
      <c r="I39" s="2">
        <v>37</v>
      </c>
      <c r="J39" s="116" t="str">
        <f t="shared" si="0"/>
        <v>평일</v>
      </c>
    </row>
    <row r="40" spans="1:10" ht="21.75" hidden="1" customHeight="1" x14ac:dyDescent="0.25">
      <c r="A40" s="2">
        <v>2020</v>
      </c>
      <c r="B40" s="2">
        <v>11</v>
      </c>
      <c r="C40" s="2" t="s">
        <v>159</v>
      </c>
      <c r="D40" s="3">
        <v>44149</v>
      </c>
      <c r="E40" s="7">
        <v>1776</v>
      </c>
      <c r="F40" s="2" t="s">
        <v>3</v>
      </c>
      <c r="G40" s="2">
        <v>26</v>
      </c>
      <c r="H40" s="7">
        <v>1750</v>
      </c>
      <c r="I40" s="2">
        <v>38</v>
      </c>
      <c r="J40" s="116" t="str">
        <f t="shared" si="0"/>
        <v>주말</v>
      </c>
    </row>
    <row r="41" spans="1:10" ht="21.75" hidden="1" customHeight="1" x14ac:dyDescent="0.25">
      <c r="A41" s="2">
        <v>2020</v>
      </c>
      <c r="B41" s="2">
        <v>11</v>
      </c>
      <c r="C41" s="2" t="s">
        <v>160</v>
      </c>
      <c r="D41" s="3">
        <v>44150</v>
      </c>
      <c r="E41" s="7">
        <v>1300</v>
      </c>
      <c r="F41" s="2" t="s">
        <v>3</v>
      </c>
      <c r="G41" s="2">
        <v>35</v>
      </c>
      <c r="H41" s="7">
        <v>1265</v>
      </c>
      <c r="I41" s="2">
        <v>39</v>
      </c>
      <c r="J41" s="116" t="str">
        <f t="shared" si="0"/>
        <v>주말</v>
      </c>
    </row>
    <row r="42" spans="1:10" ht="21.75" hidden="1" customHeight="1" x14ac:dyDescent="0.25">
      <c r="A42" s="2">
        <v>2020</v>
      </c>
      <c r="B42" s="2">
        <v>11</v>
      </c>
      <c r="C42" s="2" t="s">
        <v>161</v>
      </c>
      <c r="D42" s="3">
        <v>44151</v>
      </c>
      <c r="E42" s="7">
        <v>617</v>
      </c>
      <c r="F42" s="2" t="s">
        <v>3</v>
      </c>
      <c r="G42" s="2">
        <v>22</v>
      </c>
      <c r="H42" s="7">
        <v>595</v>
      </c>
      <c r="I42" s="2">
        <v>40</v>
      </c>
      <c r="J42" s="116" t="str">
        <f t="shared" si="0"/>
        <v>평일</v>
      </c>
    </row>
    <row r="43" spans="1:10" ht="21.75" hidden="1" customHeight="1" x14ac:dyDescent="0.25">
      <c r="A43" s="2">
        <v>2020</v>
      </c>
      <c r="B43" s="2">
        <v>11</v>
      </c>
      <c r="C43" s="2" t="s">
        <v>162</v>
      </c>
      <c r="D43" s="3">
        <v>44152</v>
      </c>
      <c r="E43" s="7">
        <v>579</v>
      </c>
      <c r="F43" s="2" t="s">
        <v>3</v>
      </c>
      <c r="G43" s="2">
        <v>15</v>
      </c>
      <c r="H43" s="7">
        <v>564</v>
      </c>
      <c r="I43" s="2">
        <v>41</v>
      </c>
      <c r="J43" s="116" t="str">
        <f t="shared" si="0"/>
        <v>평일</v>
      </c>
    </row>
    <row r="44" spans="1:10" ht="21.75" hidden="1" customHeight="1" x14ac:dyDescent="0.25">
      <c r="A44" s="2">
        <v>2020</v>
      </c>
      <c r="B44" s="2">
        <v>11</v>
      </c>
      <c r="C44" s="2" t="s">
        <v>163</v>
      </c>
      <c r="D44" s="3">
        <v>44153</v>
      </c>
      <c r="E44" s="7">
        <v>697</v>
      </c>
      <c r="F44" s="2" t="s">
        <v>3</v>
      </c>
      <c r="G44" s="2">
        <v>24</v>
      </c>
      <c r="H44" s="7">
        <v>673</v>
      </c>
      <c r="I44" s="2">
        <v>42</v>
      </c>
      <c r="J44" s="116" t="str">
        <f t="shared" si="0"/>
        <v>평일</v>
      </c>
    </row>
    <row r="45" spans="1:10" ht="21.75" hidden="1" customHeight="1" x14ac:dyDescent="0.25">
      <c r="A45" s="2">
        <v>2020</v>
      </c>
      <c r="B45" s="2">
        <v>11</v>
      </c>
      <c r="C45" s="2" t="s">
        <v>157</v>
      </c>
      <c r="D45" s="3">
        <v>44154</v>
      </c>
      <c r="E45" s="7">
        <v>561</v>
      </c>
      <c r="F45" s="2" t="s">
        <v>3</v>
      </c>
      <c r="G45" s="2">
        <v>15</v>
      </c>
      <c r="H45" s="7">
        <v>546</v>
      </c>
      <c r="I45" s="2">
        <v>43</v>
      </c>
      <c r="J45" s="116" t="str">
        <f t="shared" si="0"/>
        <v>평일</v>
      </c>
    </row>
    <row r="46" spans="1:10" ht="21.75" hidden="1" customHeight="1" x14ac:dyDescent="0.25">
      <c r="A46" s="2">
        <v>2020</v>
      </c>
      <c r="B46" s="2">
        <v>11</v>
      </c>
      <c r="C46" s="2" t="s">
        <v>158</v>
      </c>
      <c r="D46" s="3">
        <v>44155</v>
      </c>
      <c r="E46" s="7">
        <v>755</v>
      </c>
      <c r="F46" s="2" t="s">
        <v>3</v>
      </c>
      <c r="G46" s="2">
        <v>25</v>
      </c>
      <c r="H46" s="7">
        <v>730</v>
      </c>
      <c r="I46" s="2">
        <v>44</v>
      </c>
      <c r="J46" s="116" t="str">
        <f t="shared" si="0"/>
        <v>평일</v>
      </c>
    </row>
    <row r="47" spans="1:10" ht="21.75" hidden="1" customHeight="1" x14ac:dyDescent="0.25">
      <c r="A47" s="2">
        <v>2020</v>
      </c>
      <c r="B47" s="2">
        <v>11</v>
      </c>
      <c r="C47" s="2" t="s">
        <v>159</v>
      </c>
      <c r="D47" s="3">
        <v>44156</v>
      </c>
      <c r="E47" s="7">
        <v>1461</v>
      </c>
      <c r="F47" s="2" t="s">
        <v>3</v>
      </c>
      <c r="G47" s="2">
        <v>45</v>
      </c>
      <c r="H47" s="7">
        <v>1416</v>
      </c>
      <c r="I47" s="2">
        <v>45</v>
      </c>
      <c r="J47" s="116" t="str">
        <f t="shared" si="0"/>
        <v>주말</v>
      </c>
    </row>
    <row r="48" spans="1:10" ht="21.75" hidden="1" customHeight="1" x14ac:dyDescent="0.25">
      <c r="A48" s="2">
        <v>2020</v>
      </c>
      <c r="B48" s="2">
        <v>11</v>
      </c>
      <c r="C48" s="2" t="s">
        <v>160</v>
      </c>
      <c r="D48" s="3">
        <v>44157</v>
      </c>
      <c r="E48" s="7">
        <v>989</v>
      </c>
      <c r="F48" s="2" t="s">
        <v>3</v>
      </c>
      <c r="G48" s="2">
        <v>38</v>
      </c>
      <c r="H48" s="7">
        <v>951</v>
      </c>
      <c r="I48" s="2">
        <v>46</v>
      </c>
      <c r="J48" s="116" t="str">
        <f t="shared" si="0"/>
        <v>주말</v>
      </c>
    </row>
    <row r="49" spans="1:10" ht="21.75" hidden="1" customHeight="1" x14ac:dyDescent="0.25">
      <c r="A49" s="2">
        <v>2020</v>
      </c>
      <c r="B49" s="2">
        <v>11</v>
      </c>
      <c r="C49" s="2" t="s">
        <v>161</v>
      </c>
      <c r="D49" s="3">
        <v>44158</v>
      </c>
      <c r="E49" s="7">
        <v>512</v>
      </c>
      <c r="F49" s="2" t="s">
        <v>3</v>
      </c>
      <c r="G49" s="2">
        <v>39</v>
      </c>
      <c r="H49" s="7">
        <v>473</v>
      </c>
      <c r="I49" s="2">
        <v>47</v>
      </c>
      <c r="J49" s="116" t="str">
        <f t="shared" si="0"/>
        <v>평일</v>
      </c>
    </row>
    <row r="50" spans="1:10" ht="21.75" hidden="1" customHeight="1" x14ac:dyDescent="0.25">
      <c r="A50" s="2">
        <v>2020</v>
      </c>
      <c r="B50" s="2">
        <v>11</v>
      </c>
      <c r="C50" s="2" t="s">
        <v>162</v>
      </c>
      <c r="D50" s="3">
        <v>44159</v>
      </c>
      <c r="E50" s="7">
        <v>435</v>
      </c>
      <c r="F50" s="2" t="s">
        <v>3</v>
      </c>
      <c r="G50" s="2">
        <v>16</v>
      </c>
      <c r="H50" s="7">
        <v>419</v>
      </c>
      <c r="I50" s="2">
        <v>48</v>
      </c>
      <c r="J50" s="116" t="str">
        <f t="shared" si="0"/>
        <v>평일</v>
      </c>
    </row>
    <row r="51" spans="1:10" ht="21.75" hidden="1" customHeight="1" x14ac:dyDescent="0.25">
      <c r="A51" s="2">
        <v>2020</v>
      </c>
      <c r="B51" s="2">
        <v>11</v>
      </c>
      <c r="C51" s="2" t="s">
        <v>163</v>
      </c>
      <c r="D51" s="3">
        <v>44160</v>
      </c>
      <c r="E51" s="7">
        <v>435</v>
      </c>
      <c r="F51" s="2" t="s">
        <v>3</v>
      </c>
      <c r="G51" s="2">
        <v>13</v>
      </c>
      <c r="H51" s="7">
        <v>422</v>
      </c>
      <c r="I51" s="2">
        <v>49</v>
      </c>
      <c r="J51" s="116" t="str">
        <f t="shared" si="0"/>
        <v>평일</v>
      </c>
    </row>
    <row r="52" spans="1:10" ht="21.75" hidden="1" customHeight="1" x14ac:dyDescent="0.25">
      <c r="A52" s="2">
        <v>2020</v>
      </c>
      <c r="B52" s="2">
        <v>11</v>
      </c>
      <c r="C52" s="2" t="s">
        <v>157</v>
      </c>
      <c r="D52" s="3">
        <v>44161</v>
      </c>
      <c r="E52" s="7">
        <v>374</v>
      </c>
      <c r="F52" s="2" t="s">
        <v>3</v>
      </c>
      <c r="G52" s="2">
        <v>16</v>
      </c>
      <c r="H52" s="7">
        <v>358</v>
      </c>
      <c r="I52" s="2">
        <v>50</v>
      </c>
      <c r="J52" s="116" t="str">
        <f t="shared" si="0"/>
        <v>평일</v>
      </c>
    </row>
    <row r="53" spans="1:10" ht="21.75" hidden="1" customHeight="1" x14ac:dyDescent="0.25">
      <c r="A53" s="2">
        <v>2020</v>
      </c>
      <c r="B53" s="2">
        <v>11</v>
      </c>
      <c r="C53" s="2" t="s">
        <v>158</v>
      </c>
      <c r="D53" s="3">
        <v>44162</v>
      </c>
      <c r="E53" s="7">
        <v>410</v>
      </c>
      <c r="F53" s="2" t="s">
        <v>3</v>
      </c>
      <c r="G53" s="2">
        <v>28</v>
      </c>
      <c r="H53" s="7">
        <v>382</v>
      </c>
      <c r="I53" s="2">
        <v>51</v>
      </c>
      <c r="J53" s="116" t="str">
        <f t="shared" si="0"/>
        <v>평일</v>
      </c>
    </row>
    <row r="54" spans="1:10" ht="21.75" hidden="1" customHeight="1" x14ac:dyDescent="0.25">
      <c r="A54" s="2">
        <v>2020</v>
      </c>
      <c r="B54" s="2">
        <v>11</v>
      </c>
      <c r="C54" s="2" t="s">
        <v>159</v>
      </c>
      <c r="D54" s="3">
        <v>44163</v>
      </c>
      <c r="E54" s="7">
        <v>764</v>
      </c>
      <c r="F54" s="2" t="s">
        <v>3</v>
      </c>
      <c r="G54" s="2">
        <v>28</v>
      </c>
      <c r="H54" s="7">
        <v>736</v>
      </c>
      <c r="I54" s="2">
        <v>52</v>
      </c>
      <c r="J54" s="116" t="str">
        <f t="shared" si="0"/>
        <v>주말</v>
      </c>
    </row>
    <row r="55" spans="1:10" ht="21.75" hidden="1" customHeight="1" x14ac:dyDescent="0.25">
      <c r="A55" s="2">
        <v>2020</v>
      </c>
      <c r="B55" s="2">
        <v>11</v>
      </c>
      <c r="C55" s="2" t="s">
        <v>160</v>
      </c>
      <c r="D55" s="3">
        <v>44164</v>
      </c>
      <c r="E55" s="7">
        <v>650</v>
      </c>
      <c r="F55" s="2" t="s">
        <v>3</v>
      </c>
      <c r="G55" s="2">
        <v>18</v>
      </c>
      <c r="H55" s="7">
        <v>632</v>
      </c>
      <c r="I55" s="2">
        <v>53</v>
      </c>
      <c r="J55" s="116" t="str">
        <f t="shared" si="0"/>
        <v>주말</v>
      </c>
    </row>
    <row r="56" spans="1:10" ht="21.75" hidden="1" customHeight="1" x14ac:dyDescent="0.25">
      <c r="A56" s="2">
        <v>2020</v>
      </c>
      <c r="B56" s="2">
        <v>11</v>
      </c>
      <c r="C56" s="2" t="s">
        <v>161</v>
      </c>
      <c r="D56" s="3">
        <v>44165</v>
      </c>
      <c r="E56" s="7">
        <v>346</v>
      </c>
      <c r="F56" s="2" t="s">
        <v>3</v>
      </c>
      <c r="G56" s="2">
        <v>4</v>
      </c>
      <c r="H56" s="7">
        <v>342</v>
      </c>
      <c r="I56" s="2">
        <v>54</v>
      </c>
      <c r="J56" s="116" t="str">
        <f t="shared" si="0"/>
        <v>평일</v>
      </c>
    </row>
    <row r="57" spans="1:10" ht="21.75" hidden="1" customHeight="1" x14ac:dyDescent="0.25">
      <c r="A57" s="2">
        <v>2020</v>
      </c>
      <c r="B57" s="2">
        <v>12</v>
      </c>
      <c r="C57" s="2" t="s">
        <v>162</v>
      </c>
      <c r="D57" s="3">
        <v>44166</v>
      </c>
      <c r="E57" s="7">
        <v>240</v>
      </c>
      <c r="F57" s="2" t="s">
        <v>3</v>
      </c>
      <c r="G57" s="2">
        <v>7</v>
      </c>
      <c r="H57" s="7">
        <v>233</v>
      </c>
      <c r="I57" s="2">
        <v>55</v>
      </c>
      <c r="J57" s="116" t="str">
        <f t="shared" si="0"/>
        <v>평일</v>
      </c>
    </row>
    <row r="58" spans="1:10" ht="21.75" hidden="1" customHeight="1" x14ac:dyDescent="0.25">
      <c r="A58" s="2">
        <v>2020</v>
      </c>
      <c r="B58" s="2">
        <v>12</v>
      </c>
      <c r="C58" s="2" t="s">
        <v>163</v>
      </c>
      <c r="D58" s="3">
        <v>44167</v>
      </c>
      <c r="E58" s="7">
        <v>221</v>
      </c>
      <c r="F58" s="2" t="s">
        <v>3</v>
      </c>
      <c r="G58" s="2">
        <v>9</v>
      </c>
      <c r="H58" s="7">
        <v>212</v>
      </c>
      <c r="I58" s="2">
        <v>56</v>
      </c>
      <c r="J58" s="116" t="str">
        <f t="shared" si="0"/>
        <v>평일</v>
      </c>
    </row>
    <row r="59" spans="1:10" ht="21.75" hidden="1" customHeight="1" x14ac:dyDescent="0.25">
      <c r="A59" s="2">
        <v>2020</v>
      </c>
      <c r="B59" s="2">
        <v>12</v>
      </c>
      <c r="C59" s="2" t="s">
        <v>157</v>
      </c>
      <c r="D59" s="3">
        <v>44168</v>
      </c>
      <c r="E59" s="7">
        <v>301</v>
      </c>
      <c r="F59" s="2" t="s">
        <v>3</v>
      </c>
      <c r="G59" s="2">
        <v>5</v>
      </c>
      <c r="H59" s="7">
        <v>296</v>
      </c>
      <c r="I59" s="2">
        <v>57</v>
      </c>
      <c r="J59" s="116" t="str">
        <f t="shared" si="0"/>
        <v>평일</v>
      </c>
    </row>
    <row r="60" spans="1:10" ht="21.75" hidden="1" customHeight="1" x14ac:dyDescent="0.25">
      <c r="A60" s="2">
        <v>2020</v>
      </c>
      <c r="B60" s="2">
        <v>12</v>
      </c>
      <c r="C60" s="2" t="s">
        <v>158</v>
      </c>
      <c r="D60" s="3">
        <v>44169</v>
      </c>
      <c r="E60" s="7">
        <v>383</v>
      </c>
      <c r="F60" s="2" t="s">
        <v>3</v>
      </c>
      <c r="G60" s="2">
        <v>33</v>
      </c>
      <c r="H60" s="7">
        <v>350</v>
      </c>
      <c r="I60" s="2">
        <v>58</v>
      </c>
      <c r="J60" s="116" t="str">
        <f t="shared" si="0"/>
        <v>평일</v>
      </c>
    </row>
    <row r="61" spans="1:10" ht="21.75" hidden="1" customHeight="1" x14ac:dyDescent="0.25">
      <c r="A61" s="2">
        <v>2020</v>
      </c>
      <c r="B61" s="2">
        <v>12</v>
      </c>
      <c r="C61" s="2" t="s">
        <v>159</v>
      </c>
      <c r="D61" s="3">
        <v>44170</v>
      </c>
      <c r="E61" s="7">
        <v>534</v>
      </c>
      <c r="F61" s="2" t="s">
        <v>3</v>
      </c>
      <c r="G61" s="2">
        <v>28</v>
      </c>
      <c r="H61" s="7">
        <v>506</v>
      </c>
      <c r="I61" s="2">
        <v>59</v>
      </c>
      <c r="J61" s="116" t="str">
        <f t="shared" si="0"/>
        <v>주말</v>
      </c>
    </row>
    <row r="62" spans="1:10" ht="21.75" hidden="1" customHeight="1" x14ac:dyDescent="0.25">
      <c r="A62" s="2">
        <v>2020</v>
      </c>
      <c r="B62" s="2">
        <v>12</v>
      </c>
      <c r="C62" s="2" t="s">
        <v>160</v>
      </c>
      <c r="D62" s="3">
        <v>44171</v>
      </c>
      <c r="E62" s="7">
        <v>412</v>
      </c>
      <c r="F62" s="2" t="s">
        <v>3</v>
      </c>
      <c r="G62" s="2">
        <v>18</v>
      </c>
      <c r="H62" s="7">
        <v>394</v>
      </c>
      <c r="I62" s="2">
        <v>60</v>
      </c>
      <c r="J62" s="116" t="str">
        <f t="shared" si="0"/>
        <v>주말</v>
      </c>
    </row>
    <row r="63" spans="1:10" ht="21.75" hidden="1" customHeight="1" x14ac:dyDescent="0.25">
      <c r="A63" s="2">
        <v>2020</v>
      </c>
      <c r="B63" s="2">
        <v>12</v>
      </c>
      <c r="C63" s="2" t="s">
        <v>161</v>
      </c>
      <c r="D63" s="3">
        <v>44172</v>
      </c>
      <c r="E63" s="7">
        <v>217</v>
      </c>
      <c r="F63" s="2" t="s">
        <v>3</v>
      </c>
      <c r="G63" s="2">
        <v>13</v>
      </c>
      <c r="H63" s="7">
        <v>204</v>
      </c>
      <c r="I63" s="2">
        <v>61</v>
      </c>
      <c r="J63" s="116" t="str">
        <f t="shared" si="0"/>
        <v>평일</v>
      </c>
    </row>
    <row r="64" spans="1:10" ht="21.75" hidden="1" customHeight="1" x14ac:dyDescent="0.25">
      <c r="A64" s="2">
        <v>2020</v>
      </c>
      <c r="B64" s="2">
        <v>12</v>
      </c>
      <c r="C64" s="2" t="s">
        <v>162</v>
      </c>
      <c r="D64" s="3">
        <v>44173</v>
      </c>
      <c r="E64" s="7">
        <v>167</v>
      </c>
      <c r="F64" s="2" t="s">
        <v>3</v>
      </c>
      <c r="G64" s="2">
        <v>5</v>
      </c>
      <c r="H64" s="7">
        <v>162</v>
      </c>
      <c r="I64" s="2">
        <v>62</v>
      </c>
      <c r="J64" s="116" t="str">
        <f t="shared" si="0"/>
        <v>평일</v>
      </c>
    </row>
    <row r="65" spans="1:10" ht="21.75" hidden="1" customHeight="1" x14ac:dyDescent="0.25">
      <c r="A65" s="2">
        <v>2020</v>
      </c>
      <c r="B65" s="2">
        <v>12</v>
      </c>
      <c r="C65" s="2" t="s">
        <v>163</v>
      </c>
      <c r="D65" s="3">
        <v>44174</v>
      </c>
      <c r="E65" s="7">
        <v>187</v>
      </c>
      <c r="F65" s="2" t="s">
        <v>3</v>
      </c>
      <c r="G65" s="2">
        <v>11</v>
      </c>
      <c r="H65" s="7">
        <v>176</v>
      </c>
      <c r="I65" s="2">
        <v>63</v>
      </c>
      <c r="J65" s="116" t="str">
        <f t="shared" si="0"/>
        <v>평일</v>
      </c>
    </row>
    <row r="66" spans="1:10" ht="21.75" hidden="1" customHeight="1" x14ac:dyDescent="0.25">
      <c r="A66" s="2">
        <v>2020</v>
      </c>
      <c r="B66" s="2">
        <v>12</v>
      </c>
      <c r="C66" s="2" t="s">
        <v>157</v>
      </c>
      <c r="D66" s="3">
        <v>44175</v>
      </c>
      <c r="E66" s="7">
        <v>180</v>
      </c>
      <c r="F66" s="2" t="s">
        <v>3</v>
      </c>
      <c r="G66" s="2">
        <v>2</v>
      </c>
      <c r="H66" s="7">
        <v>178</v>
      </c>
      <c r="I66" s="2">
        <v>64</v>
      </c>
      <c r="J66" s="116" t="str">
        <f t="shared" si="0"/>
        <v>평일</v>
      </c>
    </row>
    <row r="67" spans="1:10" ht="21.75" hidden="1" customHeight="1" x14ac:dyDescent="0.25">
      <c r="A67" s="2">
        <v>2020</v>
      </c>
      <c r="B67" s="2">
        <v>12</v>
      </c>
      <c r="C67" s="2" t="s">
        <v>158</v>
      </c>
      <c r="D67" s="3">
        <v>44176</v>
      </c>
      <c r="E67" s="7">
        <v>246</v>
      </c>
      <c r="F67" s="2" t="s">
        <v>3</v>
      </c>
      <c r="G67" s="2">
        <v>11</v>
      </c>
      <c r="H67" s="7">
        <v>235</v>
      </c>
      <c r="I67" s="2">
        <v>65</v>
      </c>
      <c r="J67" s="116" t="str">
        <f t="shared" ref="J67:J130" si="1">+IF(OR(C67="토",C67="일"),"주말","평일")</f>
        <v>평일</v>
      </c>
    </row>
    <row r="68" spans="1:10" ht="21.75" hidden="1" customHeight="1" x14ac:dyDescent="0.25">
      <c r="A68" s="2">
        <v>2020</v>
      </c>
      <c r="B68" s="2">
        <v>12</v>
      </c>
      <c r="C68" s="2" t="s">
        <v>159</v>
      </c>
      <c r="D68" s="3">
        <v>44177</v>
      </c>
      <c r="E68" s="7">
        <v>439</v>
      </c>
      <c r="F68" s="2" t="s">
        <v>3</v>
      </c>
      <c r="G68" s="2">
        <v>16</v>
      </c>
      <c r="H68" s="7">
        <v>423</v>
      </c>
      <c r="I68" s="2">
        <v>66</v>
      </c>
      <c r="J68" s="116" t="str">
        <f t="shared" si="1"/>
        <v>주말</v>
      </c>
    </row>
    <row r="69" spans="1:10" ht="21.75" hidden="1" customHeight="1" x14ac:dyDescent="0.25">
      <c r="A69" s="2">
        <v>2020</v>
      </c>
      <c r="B69" s="2">
        <v>12</v>
      </c>
      <c r="C69" s="2" t="s">
        <v>160</v>
      </c>
      <c r="D69" s="3">
        <v>44178</v>
      </c>
      <c r="E69" s="7">
        <v>248</v>
      </c>
      <c r="F69" s="2" t="s">
        <v>3</v>
      </c>
      <c r="G69" s="2">
        <v>7</v>
      </c>
      <c r="H69" s="7">
        <v>241</v>
      </c>
      <c r="I69" s="2">
        <v>67</v>
      </c>
      <c r="J69" s="116" t="str">
        <f t="shared" si="1"/>
        <v>주말</v>
      </c>
    </row>
    <row r="70" spans="1:10" ht="21.75" hidden="1" customHeight="1" x14ac:dyDescent="0.25">
      <c r="A70" s="2">
        <v>2020</v>
      </c>
      <c r="B70" s="2">
        <v>12</v>
      </c>
      <c r="C70" s="2" t="s">
        <v>161</v>
      </c>
      <c r="D70" s="3">
        <v>44179</v>
      </c>
      <c r="E70" s="7">
        <v>151</v>
      </c>
      <c r="F70" s="2" t="s">
        <v>3</v>
      </c>
      <c r="G70" s="2">
        <v>10</v>
      </c>
      <c r="H70" s="7">
        <v>141</v>
      </c>
      <c r="I70" s="2">
        <v>68</v>
      </c>
      <c r="J70" s="116" t="str">
        <f t="shared" si="1"/>
        <v>평일</v>
      </c>
    </row>
    <row r="71" spans="1:10" ht="21.75" hidden="1" customHeight="1" x14ac:dyDescent="0.25">
      <c r="A71" s="2">
        <v>2020</v>
      </c>
      <c r="B71" s="2">
        <v>12</v>
      </c>
      <c r="C71" s="2" t="s">
        <v>162</v>
      </c>
      <c r="D71" s="3">
        <v>44180</v>
      </c>
      <c r="E71" s="7">
        <v>173</v>
      </c>
      <c r="F71" s="2" t="s">
        <v>3</v>
      </c>
      <c r="G71" s="2">
        <v>40</v>
      </c>
      <c r="H71" s="7">
        <v>133</v>
      </c>
      <c r="I71" s="2">
        <v>69</v>
      </c>
      <c r="J71" s="116" t="str">
        <f t="shared" si="1"/>
        <v>평일</v>
      </c>
    </row>
    <row r="72" spans="1:10" ht="21.75" hidden="1" customHeight="1" x14ac:dyDescent="0.25">
      <c r="A72" s="2">
        <v>2020</v>
      </c>
      <c r="B72" s="2">
        <v>12</v>
      </c>
      <c r="C72" s="2" t="s">
        <v>163</v>
      </c>
      <c r="D72" s="3">
        <v>44181</v>
      </c>
      <c r="E72" s="7">
        <v>129</v>
      </c>
      <c r="F72" s="2" t="s">
        <v>3</v>
      </c>
      <c r="G72" s="2">
        <v>10</v>
      </c>
      <c r="H72" s="7">
        <v>119</v>
      </c>
      <c r="I72" s="2">
        <v>70</v>
      </c>
      <c r="J72" s="116" t="str">
        <f t="shared" si="1"/>
        <v>평일</v>
      </c>
    </row>
    <row r="73" spans="1:10" ht="21.75" hidden="1" customHeight="1" x14ac:dyDescent="0.25">
      <c r="A73" s="2">
        <v>2020</v>
      </c>
      <c r="B73" s="2">
        <v>12</v>
      </c>
      <c r="C73" s="2" t="s">
        <v>157</v>
      </c>
      <c r="D73" s="3">
        <v>44182</v>
      </c>
      <c r="E73" s="7">
        <v>156</v>
      </c>
      <c r="F73" s="2" t="s">
        <v>3</v>
      </c>
      <c r="G73" s="2">
        <v>4</v>
      </c>
      <c r="H73" s="7">
        <v>152</v>
      </c>
      <c r="I73" s="2">
        <v>71</v>
      </c>
      <c r="J73" s="116" t="str">
        <f t="shared" si="1"/>
        <v>평일</v>
      </c>
    </row>
    <row r="74" spans="1:10" ht="21.75" hidden="1" customHeight="1" x14ac:dyDescent="0.25">
      <c r="A74" s="2">
        <v>2020</v>
      </c>
      <c r="B74" s="2">
        <v>12</v>
      </c>
      <c r="C74" s="2" t="s">
        <v>158</v>
      </c>
      <c r="D74" s="3">
        <v>44183</v>
      </c>
      <c r="E74" s="7">
        <v>211</v>
      </c>
      <c r="F74" s="2" t="s">
        <v>3</v>
      </c>
      <c r="G74" s="2">
        <v>13</v>
      </c>
      <c r="H74" s="7">
        <v>198</v>
      </c>
      <c r="I74" s="2">
        <v>72</v>
      </c>
      <c r="J74" s="116" t="str">
        <f t="shared" si="1"/>
        <v>평일</v>
      </c>
    </row>
    <row r="75" spans="1:10" ht="21.75" hidden="1" customHeight="1" x14ac:dyDescent="0.25">
      <c r="A75" s="2">
        <v>2020</v>
      </c>
      <c r="B75" s="2">
        <v>12</v>
      </c>
      <c r="C75" s="2" t="s">
        <v>159</v>
      </c>
      <c r="D75" s="3">
        <v>44184</v>
      </c>
      <c r="E75" s="7">
        <v>278</v>
      </c>
      <c r="F75" s="2" t="s">
        <v>3</v>
      </c>
      <c r="G75" s="2">
        <v>7</v>
      </c>
      <c r="H75" s="7">
        <v>271</v>
      </c>
      <c r="I75" s="2">
        <v>73</v>
      </c>
      <c r="J75" s="116" t="str">
        <f t="shared" si="1"/>
        <v>주말</v>
      </c>
    </row>
    <row r="76" spans="1:10" ht="21.75" hidden="1" customHeight="1" x14ac:dyDescent="0.25">
      <c r="A76" s="2">
        <v>2020</v>
      </c>
      <c r="B76" s="2">
        <v>12</v>
      </c>
      <c r="C76" s="2" t="s">
        <v>160</v>
      </c>
      <c r="D76" s="3">
        <v>44185</v>
      </c>
      <c r="E76" s="7">
        <v>291</v>
      </c>
      <c r="F76" s="2" t="s">
        <v>3</v>
      </c>
      <c r="G76" s="2">
        <v>15</v>
      </c>
      <c r="H76" s="7">
        <v>276</v>
      </c>
      <c r="I76" s="2">
        <v>74</v>
      </c>
      <c r="J76" s="116" t="str">
        <f t="shared" si="1"/>
        <v>주말</v>
      </c>
    </row>
    <row r="77" spans="1:10" ht="21.75" hidden="1" customHeight="1" x14ac:dyDescent="0.25">
      <c r="A77" s="2">
        <v>2020</v>
      </c>
      <c r="B77" s="2">
        <v>12</v>
      </c>
      <c r="C77" s="2" t="s">
        <v>161</v>
      </c>
      <c r="D77" s="3">
        <v>44186</v>
      </c>
      <c r="E77" s="7">
        <v>195</v>
      </c>
      <c r="F77" s="2" t="s">
        <v>3</v>
      </c>
      <c r="G77" s="2">
        <v>7</v>
      </c>
      <c r="H77" s="7">
        <v>188</v>
      </c>
      <c r="I77" s="2">
        <v>75</v>
      </c>
      <c r="J77" s="116" t="str">
        <f t="shared" si="1"/>
        <v>평일</v>
      </c>
    </row>
    <row r="78" spans="1:10" ht="21.75" hidden="1" customHeight="1" x14ac:dyDescent="0.25">
      <c r="A78" s="2">
        <v>2020</v>
      </c>
      <c r="B78" s="2">
        <v>12</v>
      </c>
      <c r="C78" s="2" t="s">
        <v>162</v>
      </c>
      <c r="D78" s="3">
        <v>44187</v>
      </c>
      <c r="E78" s="7">
        <v>172</v>
      </c>
      <c r="F78" s="2" t="s">
        <v>3</v>
      </c>
      <c r="G78" s="2">
        <v>9</v>
      </c>
      <c r="H78" s="7">
        <v>163</v>
      </c>
      <c r="I78" s="2">
        <v>76</v>
      </c>
      <c r="J78" s="116" t="str">
        <f t="shared" si="1"/>
        <v>평일</v>
      </c>
    </row>
    <row r="79" spans="1:10" ht="21.75" hidden="1" customHeight="1" x14ac:dyDescent="0.25">
      <c r="A79" s="2">
        <v>2020</v>
      </c>
      <c r="B79" s="2">
        <v>12</v>
      </c>
      <c r="C79" s="2" t="s">
        <v>163</v>
      </c>
      <c r="D79" s="3">
        <v>44188</v>
      </c>
      <c r="E79" s="7">
        <v>164</v>
      </c>
      <c r="F79" s="2" t="s">
        <v>3</v>
      </c>
      <c r="G79" s="2">
        <v>8</v>
      </c>
      <c r="H79" s="7">
        <v>156</v>
      </c>
      <c r="I79" s="2">
        <v>77</v>
      </c>
      <c r="J79" s="116" t="str">
        <f t="shared" si="1"/>
        <v>평일</v>
      </c>
    </row>
    <row r="80" spans="1:10" ht="21.75" hidden="1" customHeight="1" x14ac:dyDescent="0.25">
      <c r="A80" s="2">
        <v>2020</v>
      </c>
      <c r="B80" s="2">
        <v>12</v>
      </c>
      <c r="C80" s="2" t="s">
        <v>157</v>
      </c>
      <c r="D80" s="3">
        <v>44189</v>
      </c>
      <c r="E80" s="7">
        <v>247</v>
      </c>
      <c r="F80" s="2" t="s">
        <v>3</v>
      </c>
      <c r="G80" s="2">
        <v>8</v>
      </c>
      <c r="H80" s="7">
        <v>239</v>
      </c>
      <c r="I80" s="2">
        <v>78</v>
      </c>
      <c r="J80" s="116" t="str">
        <f t="shared" si="1"/>
        <v>평일</v>
      </c>
    </row>
    <row r="81" spans="1:10" ht="21.75" hidden="1" customHeight="1" x14ac:dyDescent="0.25">
      <c r="A81" s="2">
        <v>2020</v>
      </c>
      <c r="B81" s="2">
        <v>12</v>
      </c>
      <c r="C81" s="2" t="s">
        <v>158</v>
      </c>
      <c r="D81" s="3">
        <v>44190</v>
      </c>
      <c r="E81" s="7">
        <v>415</v>
      </c>
      <c r="F81" s="2" t="s">
        <v>3</v>
      </c>
      <c r="G81" s="2">
        <v>20</v>
      </c>
      <c r="H81" s="7">
        <v>395</v>
      </c>
      <c r="I81" s="2">
        <v>79</v>
      </c>
      <c r="J81" s="116" t="str">
        <f t="shared" si="1"/>
        <v>평일</v>
      </c>
    </row>
    <row r="82" spans="1:10" ht="21.75" hidden="1" customHeight="1" x14ac:dyDescent="0.25">
      <c r="A82" s="2">
        <v>2020</v>
      </c>
      <c r="B82" s="2">
        <v>12</v>
      </c>
      <c r="C82" s="2" t="s">
        <v>159</v>
      </c>
      <c r="D82" s="3">
        <v>44191</v>
      </c>
      <c r="E82" s="7">
        <v>250</v>
      </c>
      <c r="F82" s="2" t="s">
        <v>3</v>
      </c>
      <c r="G82" s="2">
        <v>16</v>
      </c>
      <c r="H82" s="7">
        <v>234</v>
      </c>
      <c r="I82" s="2">
        <v>80</v>
      </c>
      <c r="J82" s="116" t="str">
        <f t="shared" si="1"/>
        <v>주말</v>
      </c>
    </row>
    <row r="83" spans="1:10" ht="21.75" hidden="1" customHeight="1" x14ac:dyDescent="0.25">
      <c r="A83" s="2">
        <v>2020</v>
      </c>
      <c r="B83" s="2">
        <v>12</v>
      </c>
      <c r="C83" s="2" t="s">
        <v>160</v>
      </c>
      <c r="D83" s="3">
        <v>44192</v>
      </c>
      <c r="E83" s="7">
        <v>263</v>
      </c>
      <c r="F83" s="2" t="s">
        <v>3</v>
      </c>
      <c r="G83" s="2">
        <v>20</v>
      </c>
      <c r="H83" s="7">
        <v>243</v>
      </c>
      <c r="I83" s="2">
        <v>81</v>
      </c>
      <c r="J83" s="116" t="str">
        <f t="shared" si="1"/>
        <v>주말</v>
      </c>
    </row>
    <row r="84" spans="1:10" ht="21.75" hidden="1" customHeight="1" x14ac:dyDescent="0.25">
      <c r="A84" s="2">
        <v>2020</v>
      </c>
      <c r="B84" s="2">
        <v>12</v>
      </c>
      <c r="C84" s="2" t="s">
        <v>161</v>
      </c>
      <c r="D84" s="3">
        <v>44193</v>
      </c>
      <c r="E84" s="7">
        <v>219</v>
      </c>
      <c r="F84" s="2" t="s">
        <v>3</v>
      </c>
      <c r="G84" s="2">
        <v>4</v>
      </c>
      <c r="H84" s="7">
        <v>215</v>
      </c>
      <c r="I84" s="2">
        <v>82</v>
      </c>
      <c r="J84" s="116" t="str">
        <f t="shared" si="1"/>
        <v>평일</v>
      </c>
    </row>
    <row r="85" spans="1:10" ht="21.75" hidden="1" customHeight="1" x14ac:dyDescent="0.25">
      <c r="A85" s="2">
        <v>2020</v>
      </c>
      <c r="B85" s="2">
        <v>12</v>
      </c>
      <c r="C85" s="2" t="s">
        <v>162</v>
      </c>
      <c r="D85" s="3">
        <v>44194</v>
      </c>
      <c r="E85" s="7">
        <v>252</v>
      </c>
      <c r="F85" s="2" t="s">
        <v>3</v>
      </c>
      <c r="G85" s="2">
        <v>6</v>
      </c>
      <c r="H85" s="7">
        <v>246</v>
      </c>
      <c r="I85" s="2">
        <v>83</v>
      </c>
      <c r="J85" s="116" t="str">
        <f t="shared" si="1"/>
        <v>평일</v>
      </c>
    </row>
    <row r="86" spans="1:10" ht="21.75" hidden="1" customHeight="1" x14ac:dyDescent="0.25">
      <c r="A86" s="2">
        <v>2020</v>
      </c>
      <c r="B86" s="2">
        <v>12</v>
      </c>
      <c r="C86" s="2" t="s">
        <v>163</v>
      </c>
      <c r="D86" s="3">
        <v>44195</v>
      </c>
      <c r="E86" s="7">
        <v>278</v>
      </c>
      <c r="F86" s="2" t="s">
        <v>3</v>
      </c>
      <c r="G86" s="2">
        <v>15</v>
      </c>
      <c r="H86" s="7">
        <v>263</v>
      </c>
      <c r="I86" s="2">
        <v>84</v>
      </c>
      <c r="J86" s="116" t="str">
        <f t="shared" si="1"/>
        <v>평일</v>
      </c>
    </row>
    <row r="87" spans="1:10" ht="21.75" hidden="1" customHeight="1" x14ac:dyDescent="0.25">
      <c r="A87" s="2">
        <v>2020</v>
      </c>
      <c r="B87" s="2">
        <v>12</v>
      </c>
      <c r="C87" s="2" t="s">
        <v>157</v>
      </c>
      <c r="D87" s="3">
        <v>44196</v>
      </c>
      <c r="E87" s="7">
        <v>293</v>
      </c>
      <c r="F87" s="2" t="s">
        <v>3</v>
      </c>
      <c r="G87" s="2">
        <v>16</v>
      </c>
      <c r="H87" s="7">
        <v>277</v>
      </c>
      <c r="I87" s="2">
        <v>85</v>
      </c>
      <c r="J87" s="116" t="str">
        <f t="shared" si="1"/>
        <v>평일</v>
      </c>
    </row>
    <row r="88" spans="1:10" ht="21.75" hidden="1" customHeight="1" x14ac:dyDescent="0.25">
      <c r="A88" s="2">
        <v>2021</v>
      </c>
      <c r="B88" s="2">
        <v>1</v>
      </c>
      <c r="C88" s="2" t="s">
        <v>158</v>
      </c>
      <c r="D88" s="3">
        <v>44197</v>
      </c>
      <c r="E88" s="7">
        <v>0</v>
      </c>
      <c r="F88" s="2" t="s">
        <v>3</v>
      </c>
      <c r="G88" s="2">
        <v>0</v>
      </c>
      <c r="H88" s="7">
        <v>0</v>
      </c>
      <c r="I88" s="2">
        <v>86</v>
      </c>
      <c r="J88" s="116" t="str">
        <f t="shared" si="1"/>
        <v>평일</v>
      </c>
    </row>
    <row r="89" spans="1:10" ht="21.75" hidden="1" customHeight="1" x14ac:dyDescent="0.25">
      <c r="A89" s="2">
        <v>2021</v>
      </c>
      <c r="B89" s="2">
        <v>1</v>
      </c>
      <c r="C89" s="2" t="s">
        <v>159</v>
      </c>
      <c r="D89" s="3">
        <v>44198</v>
      </c>
      <c r="E89" s="7">
        <v>563</v>
      </c>
      <c r="F89" s="2" t="s">
        <v>3</v>
      </c>
      <c r="G89" s="2">
        <v>49</v>
      </c>
      <c r="H89" s="7">
        <v>514</v>
      </c>
      <c r="I89" s="2">
        <v>87</v>
      </c>
      <c r="J89" s="116" t="str">
        <f t="shared" si="1"/>
        <v>주말</v>
      </c>
    </row>
    <row r="90" spans="1:10" ht="21.75" hidden="1" customHeight="1" x14ac:dyDescent="0.25">
      <c r="A90" s="2">
        <v>2021</v>
      </c>
      <c r="B90" s="2">
        <v>1</v>
      </c>
      <c r="C90" s="2" t="s">
        <v>160</v>
      </c>
      <c r="D90" s="3">
        <v>44199</v>
      </c>
      <c r="E90" s="7">
        <v>427</v>
      </c>
      <c r="F90" s="2" t="s">
        <v>3</v>
      </c>
      <c r="G90" s="2">
        <v>23</v>
      </c>
      <c r="H90" s="7">
        <v>404</v>
      </c>
      <c r="I90" s="2">
        <v>88</v>
      </c>
      <c r="J90" s="116" t="str">
        <f t="shared" si="1"/>
        <v>주말</v>
      </c>
    </row>
    <row r="91" spans="1:10" ht="21.75" hidden="1" customHeight="1" x14ac:dyDescent="0.25">
      <c r="A91" s="2">
        <v>2021</v>
      </c>
      <c r="B91" s="2">
        <v>1</v>
      </c>
      <c r="C91" s="2" t="s">
        <v>161</v>
      </c>
      <c r="D91" s="3">
        <v>44200</v>
      </c>
      <c r="E91" s="7">
        <v>158</v>
      </c>
      <c r="F91" s="2" t="s">
        <v>3</v>
      </c>
      <c r="G91" s="2">
        <v>10</v>
      </c>
      <c r="H91" s="7">
        <v>148</v>
      </c>
      <c r="I91" s="2">
        <v>89</v>
      </c>
      <c r="J91" s="116" t="str">
        <f t="shared" si="1"/>
        <v>평일</v>
      </c>
    </row>
    <row r="92" spans="1:10" ht="21.75" hidden="1" customHeight="1" x14ac:dyDescent="0.25">
      <c r="A92" s="2">
        <v>2021</v>
      </c>
      <c r="B92" s="2">
        <v>1</v>
      </c>
      <c r="C92" s="2" t="s">
        <v>162</v>
      </c>
      <c r="D92" s="3">
        <v>44201</v>
      </c>
      <c r="E92" s="7">
        <v>176</v>
      </c>
      <c r="F92" s="2" t="s">
        <v>3</v>
      </c>
      <c r="G92" s="2">
        <v>11</v>
      </c>
      <c r="H92" s="7">
        <v>165</v>
      </c>
      <c r="I92" s="2">
        <v>90</v>
      </c>
      <c r="J92" s="116" t="str">
        <f t="shared" si="1"/>
        <v>평일</v>
      </c>
    </row>
    <row r="93" spans="1:10" ht="21.75" hidden="1" customHeight="1" x14ac:dyDescent="0.25">
      <c r="A93" s="2">
        <v>2021</v>
      </c>
      <c r="B93" s="2">
        <v>1</v>
      </c>
      <c r="C93" s="2" t="s">
        <v>163</v>
      </c>
      <c r="D93" s="3">
        <v>44202</v>
      </c>
      <c r="E93" s="7">
        <v>178</v>
      </c>
      <c r="F93" s="2" t="s">
        <v>3</v>
      </c>
      <c r="G93" s="2">
        <v>14</v>
      </c>
      <c r="H93" s="7">
        <v>164</v>
      </c>
      <c r="I93" s="2">
        <v>91</v>
      </c>
      <c r="J93" s="116" t="str">
        <f t="shared" si="1"/>
        <v>평일</v>
      </c>
    </row>
    <row r="94" spans="1:10" ht="21.75" hidden="1" customHeight="1" x14ac:dyDescent="0.25">
      <c r="A94" s="2">
        <v>2021</v>
      </c>
      <c r="B94" s="2">
        <v>1</v>
      </c>
      <c r="C94" s="2" t="s">
        <v>157</v>
      </c>
      <c r="D94" s="3">
        <v>44203</v>
      </c>
      <c r="E94" s="7">
        <v>169</v>
      </c>
      <c r="F94" s="2" t="s">
        <v>3</v>
      </c>
      <c r="G94" s="2">
        <v>17</v>
      </c>
      <c r="H94" s="7">
        <v>152</v>
      </c>
      <c r="I94" s="2">
        <v>92</v>
      </c>
      <c r="J94" s="116" t="str">
        <f t="shared" si="1"/>
        <v>평일</v>
      </c>
    </row>
    <row r="95" spans="1:10" ht="21.75" hidden="1" customHeight="1" x14ac:dyDescent="0.25">
      <c r="A95" s="2">
        <v>2021</v>
      </c>
      <c r="B95" s="2">
        <v>1</v>
      </c>
      <c r="C95" s="2" t="s">
        <v>158</v>
      </c>
      <c r="D95" s="3">
        <v>44204</v>
      </c>
      <c r="E95" s="7">
        <v>220</v>
      </c>
      <c r="F95" s="2" t="s">
        <v>3</v>
      </c>
      <c r="G95" s="2">
        <v>17</v>
      </c>
      <c r="H95" s="7">
        <v>203</v>
      </c>
      <c r="I95" s="2">
        <v>93</v>
      </c>
      <c r="J95" s="116" t="str">
        <f t="shared" si="1"/>
        <v>평일</v>
      </c>
    </row>
    <row r="96" spans="1:10" ht="21.75" hidden="1" customHeight="1" x14ac:dyDescent="0.25">
      <c r="A96" s="2">
        <v>2021</v>
      </c>
      <c r="B96" s="2">
        <v>1</v>
      </c>
      <c r="C96" s="2" t="s">
        <v>159</v>
      </c>
      <c r="D96" s="3">
        <v>44205</v>
      </c>
      <c r="E96" s="7">
        <v>676</v>
      </c>
      <c r="F96" s="2" t="s">
        <v>3</v>
      </c>
      <c r="G96" s="2">
        <v>38</v>
      </c>
      <c r="H96" s="7">
        <v>638</v>
      </c>
      <c r="I96" s="2">
        <v>94</v>
      </c>
      <c r="J96" s="116" t="str">
        <f t="shared" si="1"/>
        <v>주말</v>
      </c>
    </row>
    <row r="97" spans="1:10" ht="21.75" hidden="1" customHeight="1" x14ac:dyDescent="0.25">
      <c r="A97" s="2">
        <v>2021</v>
      </c>
      <c r="B97" s="2">
        <v>1</v>
      </c>
      <c r="C97" s="2" t="s">
        <v>160</v>
      </c>
      <c r="D97" s="3">
        <v>44206</v>
      </c>
      <c r="E97" s="7">
        <v>588</v>
      </c>
      <c r="F97" s="2" t="s">
        <v>3</v>
      </c>
      <c r="G97" s="2">
        <v>33</v>
      </c>
      <c r="H97" s="7">
        <v>555</v>
      </c>
      <c r="I97" s="2">
        <v>95</v>
      </c>
      <c r="J97" s="116" t="str">
        <f t="shared" si="1"/>
        <v>주말</v>
      </c>
    </row>
    <row r="98" spans="1:10" ht="21.75" hidden="1" customHeight="1" x14ac:dyDescent="0.25">
      <c r="A98" s="2">
        <v>2021</v>
      </c>
      <c r="B98" s="2">
        <v>1</v>
      </c>
      <c r="C98" s="2" t="s">
        <v>161</v>
      </c>
      <c r="D98" s="3">
        <v>44207</v>
      </c>
      <c r="E98" s="7">
        <v>268</v>
      </c>
      <c r="F98" s="2" t="s">
        <v>3</v>
      </c>
      <c r="G98" s="2">
        <v>11</v>
      </c>
      <c r="H98" s="7">
        <v>257</v>
      </c>
      <c r="I98" s="2">
        <v>96</v>
      </c>
      <c r="J98" s="116" t="str">
        <f t="shared" si="1"/>
        <v>평일</v>
      </c>
    </row>
    <row r="99" spans="1:10" ht="21.75" hidden="1" customHeight="1" x14ac:dyDescent="0.25">
      <c r="A99" s="2">
        <v>2021</v>
      </c>
      <c r="B99" s="2">
        <v>1</v>
      </c>
      <c r="C99" s="2" t="s">
        <v>162</v>
      </c>
      <c r="D99" s="3">
        <v>44208</v>
      </c>
      <c r="E99" s="7">
        <v>300</v>
      </c>
      <c r="F99" s="2" t="s">
        <v>3</v>
      </c>
      <c r="G99" s="2">
        <v>4</v>
      </c>
      <c r="H99" s="7">
        <v>296</v>
      </c>
      <c r="I99" s="2">
        <v>97</v>
      </c>
      <c r="J99" s="116" t="str">
        <f t="shared" si="1"/>
        <v>평일</v>
      </c>
    </row>
    <row r="100" spans="1:10" ht="21.75" hidden="1" customHeight="1" x14ac:dyDescent="0.25">
      <c r="A100" s="2">
        <v>2021</v>
      </c>
      <c r="B100" s="2">
        <v>1</v>
      </c>
      <c r="C100" s="2" t="s">
        <v>163</v>
      </c>
      <c r="D100" s="3">
        <v>44209</v>
      </c>
      <c r="E100" s="7">
        <v>289</v>
      </c>
      <c r="F100" s="2" t="s">
        <v>3</v>
      </c>
      <c r="G100" s="2">
        <v>28</v>
      </c>
      <c r="H100" s="7">
        <v>261</v>
      </c>
      <c r="I100" s="2">
        <v>98</v>
      </c>
      <c r="J100" s="116" t="str">
        <f t="shared" si="1"/>
        <v>평일</v>
      </c>
    </row>
    <row r="101" spans="1:10" ht="21.75" hidden="1" customHeight="1" x14ac:dyDescent="0.25">
      <c r="A101" s="2">
        <v>2021</v>
      </c>
      <c r="B101" s="2">
        <v>1</v>
      </c>
      <c r="C101" s="2" t="s">
        <v>157</v>
      </c>
      <c r="D101" s="3">
        <v>44210</v>
      </c>
      <c r="E101" s="7">
        <v>409</v>
      </c>
      <c r="F101" s="2" t="s">
        <v>3</v>
      </c>
      <c r="G101" s="2">
        <v>25</v>
      </c>
      <c r="H101" s="7">
        <v>384</v>
      </c>
      <c r="I101" s="2">
        <v>99</v>
      </c>
      <c r="J101" s="116" t="str">
        <f t="shared" si="1"/>
        <v>평일</v>
      </c>
    </row>
    <row r="102" spans="1:10" ht="21.75" hidden="1" customHeight="1" x14ac:dyDescent="0.25">
      <c r="A102" s="2">
        <v>2021</v>
      </c>
      <c r="B102" s="2">
        <v>1</v>
      </c>
      <c r="C102" s="2" t="s">
        <v>158</v>
      </c>
      <c r="D102" s="3">
        <v>44211</v>
      </c>
      <c r="E102" s="7">
        <v>399</v>
      </c>
      <c r="F102" s="2" t="s">
        <v>3</v>
      </c>
      <c r="G102" s="2">
        <v>26</v>
      </c>
      <c r="H102" s="7">
        <v>373</v>
      </c>
      <c r="I102" s="2">
        <v>100</v>
      </c>
      <c r="J102" s="116" t="str">
        <f t="shared" si="1"/>
        <v>평일</v>
      </c>
    </row>
    <row r="103" spans="1:10" ht="21.75" hidden="1" customHeight="1" x14ac:dyDescent="0.25">
      <c r="A103" s="2">
        <v>2021</v>
      </c>
      <c r="B103" s="2">
        <v>1</v>
      </c>
      <c r="C103" s="2" t="s">
        <v>159</v>
      </c>
      <c r="D103" s="3">
        <v>44212</v>
      </c>
      <c r="E103" s="7">
        <v>1151</v>
      </c>
      <c r="F103" s="2" t="s">
        <v>3</v>
      </c>
      <c r="G103" s="2">
        <v>82</v>
      </c>
      <c r="H103" s="7">
        <v>1069</v>
      </c>
      <c r="I103" s="2">
        <v>101</v>
      </c>
      <c r="J103" s="116" t="str">
        <f t="shared" si="1"/>
        <v>주말</v>
      </c>
    </row>
    <row r="104" spans="1:10" ht="21.75" hidden="1" customHeight="1" x14ac:dyDescent="0.25">
      <c r="A104" s="2">
        <v>2021</v>
      </c>
      <c r="B104" s="2">
        <v>1</v>
      </c>
      <c r="C104" s="2" t="s">
        <v>160</v>
      </c>
      <c r="D104" s="3">
        <v>44213</v>
      </c>
      <c r="E104" s="7">
        <v>834</v>
      </c>
      <c r="F104" s="2" t="s">
        <v>3</v>
      </c>
      <c r="G104" s="2">
        <v>63</v>
      </c>
      <c r="H104" s="7">
        <v>771</v>
      </c>
      <c r="I104" s="2">
        <v>102</v>
      </c>
      <c r="J104" s="116" t="str">
        <f t="shared" si="1"/>
        <v>주말</v>
      </c>
    </row>
    <row r="105" spans="1:10" ht="21.75" hidden="1" customHeight="1" x14ac:dyDescent="0.25">
      <c r="A105" s="2">
        <v>2021</v>
      </c>
      <c r="B105" s="2">
        <v>1</v>
      </c>
      <c r="C105" s="2" t="s">
        <v>161</v>
      </c>
      <c r="D105" s="3">
        <v>44214</v>
      </c>
      <c r="E105" s="7">
        <v>293</v>
      </c>
      <c r="F105" s="2" t="s">
        <v>3</v>
      </c>
      <c r="G105" s="2">
        <v>5</v>
      </c>
      <c r="H105" s="7">
        <v>288</v>
      </c>
      <c r="I105" s="2">
        <v>103</v>
      </c>
      <c r="J105" s="116" t="str">
        <f t="shared" si="1"/>
        <v>평일</v>
      </c>
    </row>
    <row r="106" spans="1:10" ht="21.75" hidden="1" customHeight="1" x14ac:dyDescent="0.25">
      <c r="A106" s="2">
        <v>2021</v>
      </c>
      <c r="B106" s="2">
        <v>1</v>
      </c>
      <c r="C106" s="2" t="s">
        <v>162</v>
      </c>
      <c r="D106" s="3">
        <v>44215</v>
      </c>
      <c r="E106" s="7">
        <v>420</v>
      </c>
      <c r="F106" s="2" t="s">
        <v>3</v>
      </c>
      <c r="G106" s="2">
        <v>26</v>
      </c>
      <c r="H106" s="7">
        <v>394</v>
      </c>
      <c r="I106" s="2">
        <v>104</v>
      </c>
      <c r="J106" s="116" t="str">
        <f t="shared" si="1"/>
        <v>평일</v>
      </c>
    </row>
    <row r="107" spans="1:10" ht="21.75" hidden="1" customHeight="1" x14ac:dyDescent="0.25">
      <c r="A107" s="2">
        <v>2021</v>
      </c>
      <c r="B107" s="2">
        <v>1</v>
      </c>
      <c r="C107" s="2" t="s">
        <v>163</v>
      </c>
      <c r="D107" s="3">
        <v>44216</v>
      </c>
      <c r="E107" s="7">
        <v>527</v>
      </c>
      <c r="F107" s="2" t="s">
        <v>3</v>
      </c>
      <c r="G107" s="2">
        <v>24</v>
      </c>
      <c r="H107" s="7">
        <v>503</v>
      </c>
      <c r="I107" s="2">
        <v>105</v>
      </c>
      <c r="J107" s="116" t="str">
        <f t="shared" si="1"/>
        <v>평일</v>
      </c>
    </row>
    <row r="108" spans="1:10" ht="21.75" hidden="1" customHeight="1" x14ac:dyDescent="0.25">
      <c r="A108" s="2">
        <v>2021</v>
      </c>
      <c r="B108" s="2">
        <v>1</v>
      </c>
      <c r="C108" s="2" t="s">
        <v>157</v>
      </c>
      <c r="D108" s="3">
        <v>44217</v>
      </c>
      <c r="E108" s="7">
        <v>473</v>
      </c>
      <c r="F108" s="2" t="s">
        <v>3</v>
      </c>
      <c r="G108" s="2">
        <v>37</v>
      </c>
      <c r="H108" s="7">
        <v>436</v>
      </c>
      <c r="I108" s="2">
        <v>106</v>
      </c>
      <c r="J108" s="116" t="str">
        <f t="shared" si="1"/>
        <v>평일</v>
      </c>
    </row>
    <row r="109" spans="1:10" ht="21.75" hidden="1" customHeight="1" x14ac:dyDescent="0.25">
      <c r="A109" s="2">
        <v>2021</v>
      </c>
      <c r="B109" s="2">
        <v>1</v>
      </c>
      <c r="C109" s="2" t="s">
        <v>158</v>
      </c>
      <c r="D109" s="3">
        <v>44218</v>
      </c>
      <c r="E109" s="7">
        <v>712</v>
      </c>
      <c r="F109" s="2" t="s">
        <v>3</v>
      </c>
      <c r="G109" s="2">
        <v>51</v>
      </c>
      <c r="H109" s="7">
        <v>661</v>
      </c>
      <c r="I109" s="2">
        <v>107</v>
      </c>
      <c r="J109" s="116" t="str">
        <f t="shared" si="1"/>
        <v>평일</v>
      </c>
    </row>
    <row r="110" spans="1:10" ht="21.75" hidden="1" customHeight="1" x14ac:dyDescent="0.25">
      <c r="A110" s="2">
        <v>2021</v>
      </c>
      <c r="B110" s="2">
        <v>1</v>
      </c>
      <c r="C110" s="2" t="s">
        <v>159</v>
      </c>
      <c r="D110" s="3">
        <v>44219</v>
      </c>
      <c r="E110" s="7">
        <v>1369</v>
      </c>
      <c r="F110" s="2" t="s">
        <v>3</v>
      </c>
      <c r="G110" s="2">
        <v>113</v>
      </c>
      <c r="H110" s="7">
        <v>1256</v>
      </c>
      <c r="I110" s="2">
        <v>108</v>
      </c>
      <c r="J110" s="116" t="str">
        <f t="shared" si="1"/>
        <v>주말</v>
      </c>
    </row>
    <row r="111" spans="1:10" ht="21.75" hidden="1" customHeight="1" x14ac:dyDescent="0.25">
      <c r="A111" s="2">
        <v>2021</v>
      </c>
      <c r="B111" s="2">
        <v>1</v>
      </c>
      <c r="C111" s="2" t="s">
        <v>160</v>
      </c>
      <c r="D111" s="3">
        <v>44220</v>
      </c>
      <c r="E111" s="7">
        <v>1223</v>
      </c>
      <c r="F111" s="2" t="s">
        <v>3</v>
      </c>
      <c r="G111" s="2">
        <v>127</v>
      </c>
      <c r="H111" s="7">
        <v>1096</v>
      </c>
      <c r="I111" s="2">
        <v>109</v>
      </c>
      <c r="J111" s="116" t="str">
        <f t="shared" si="1"/>
        <v>주말</v>
      </c>
    </row>
    <row r="112" spans="1:10" ht="21.75" hidden="1" customHeight="1" x14ac:dyDescent="0.25">
      <c r="A112" s="2">
        <v>2021</v>
      </c>
      <c r="B112" s="2">
        <v>1</v>
      </c>
      <c r="C112" s="2" t="s">
        <v>161</v>
      </c>
      <c r="D112" s="3">
        <v>44221</v>
      </c>
      <c r="E112" s="7">
        <v>751</v>
      </c>
      <c r="F112" s="2" t="s">
        <v>3</v>
      </c>
      <c r="G112" s="2">
        <v>35</v>
      </c>
      <c r="H112" s="7">
        <v>716</v>
      </c>
      <c r="I112" s="2">
        <v>110</v>
      </c>
      <c r="J112" s="116" t="str">
        <f t="shared" si="1"/>
        <v>평일</v>
      </c>
    </row>
    <row r="113" spans="1:10" ht="21.75" hidden="1" customHeight="1" x14ac:dyDescent="0.25">
      <c r="A113" s="2">
        <v>2021</v>
      </c>
      <c r="B113" s="2">
        <v>1</v>
      </c>
      <c r="C113" s="2" t="s">
        <v>162</v>
      </c>
      <c r="D113" s="3">
        <v>44222</v>
      </c>
      <c r="E113" s="7">
        <v>690</v>
      </c>
      <c r="F113" s="2" t="s">
        <v>3</v>
      </c>
      <c r="G113" s="2">
        <v>29</v>
      </c>
      <c r="H113" s="7">
        <v>661</v>
      </c>
      <c r="I113" s="2">
        <v>111</v>
      </c>
      <c r="J113" s="116" t="str">
        <f t="shared" si="1"/>
        <v>평일</v>
      </c>
    </row>
    <row r="114" spans="1:10" ht="21.75" hidden="1" customHeight="1" x14ac:dyDescent="0.25">
      <c r="A114" s="2">
        <v>2021</v>
      </c>
      <c r="B114" s="2">
        <v>1</v>
      </c>
      <c r="C114" s="2" t="s">
        <v>163</v>
      </c>
      <c r="D114" s="3">
        <v>44223</v>
      </c>
      <c r="E114" s="7">
        <v>960</v>
      </c>
      <c r="F114" s="2" t="s">
        <v>3</v>
      </c>
      <c r="G114" s="2">
        <v>95</v>
      </c>
      <c r="H114" s="7">
        <v>865</v>
      </c>
      <c r="I114" s="2">
        <v>112</v>
      </c>
      <c r="J114" s="116" t="str">
        <f t="shared" si="1"/>
        <v>평일</v>
      </c>
    </row>
    <row r="115" spans="1:10" ht="21.75" hidden="1" customHeight="1" x14ac:dyDescent="0.25">
      <c r="A115" s="2">
        <v>2021</v>
      </c>
      <c r="B115" s="2">
        <v>1</v>
      </c>
      <c r="C115" s="2" t="s">
        <v>157</v>
      </c>
      <c r="D115" s="3">
        <v>44224</v>
      </c>
      <c r="E115" s="7">
        <v>637</v>
      </c>
      <c r="F115" s="2" t="s">
        <v>3</v>
      </c>
      <c r="G115" s="2">
        <v>27</v>
      </c>
      <c r="H115" s="7">
        <v>610</v>
      </c>
      <c r="I115" s="2">
        <v>113</v>
      </c>
      <c r="J115" s="116" t="str">
        <f t="shared" si="1"/>
        <v>평일</v>
      </c>
    </row>
    <row r="116" spans="1:10" ht="21.75" hidden="1" customHeight="1" x14ac:dyDescent="0.25">
      <c r="A116" s="2">
        <v>2021</v>
      </c>
      <c r="B116" s="2">
        <v>1</v>
      </c>
      <c r="C116" s="2" t="s">
        <v>158</v>
      </c>
      <c r="D116" s="3">
        <v>44225</v>
      </c>
      <c r="E116" s="7">
        <v>965</v>
      </c>
      <c r="F116" s="2" t="s">
        <v>3</v>
      </c>
      <c r="G116" s="2">
        <v>80</v>
      </c>
      <c r="H116" s="7">
        <v>885</v>
      </c>
      <c r="I116" s="2">
        <v>114</v>
      </c>
      <c r="J116" s="116" t="str">
        <f t="shared" si="1"/>
        <v>평일</v>
      </c>
    </row>
    <row r="117" spans="1:10" ht="21.75" hidden="1" customHeight="1" x14ac:dyDescent="0.25">
      <c r="A117" s="2">
        <v>2021</v>
      </c>
      <c r="B117" s="2">
        <v>1</v>
      </c>
      <c r="C117" s="2" t="s">
        <v>159</v>
      </c>
      <c r="D117" s="3">
        <v>44226</v>
      </c>
      <c r="E117" s="7">
        <v>1879</v>
      </c>
      <c r="F117" s="2" t="s">
        <v>3</v>
      </c>
      <c r="G117" s="2">
        <v>214</v>
      </c>
      <c r="H117" s="7">
        <v>1665</v>
      </c>
      <c r="I117" s="2">
        <v>115</v>
      </c>
      <c r="J117" s="116" t="str">
        <f t="shared" si="1"/>
        <v>주말</v>
      </c>
    </row>
    <row r="118" spans="1:10" ht="21.75" hidden="1" customHeight="1" x14ac:dyDescent="0.25">
      <c r="A118" s="2">
        <v>2021</v>
      </c>
      <c r="B118" s="2">
        <v>1</v>
      </c>
      <c r="C118" s="2" t="s">
        <v>160</v>
      </c>
      <c r="D118" s="3">
        <v>44227</v>
      </c>
      <c r="E118" s="7">
        <v>1832</v>
      </c>
      <c r="F118" s="2" t="s">
        <v>3</v>
      </c>
      <c r="G118" s="2">
        <v>198</v>
      </c>
      <c r="H118" s="7">
        <v>1634</v>
      </c>
      <c r="I118" s="2">
        <v>116</v>
      </c>
      <c r="J118" s="116" t="str">
        <f t="shared" si="1"/>
        <v>주말</v>
      </c>
    </row>
    <row r="119" spans="1:10" ht="21.75" hidden="1" customHeight="1" x14ac:dyDescent="0.25">
      <c r="A119" s="2">
        <v>2021</v>
      </c>
      <c r="B119" s="2">
        <v>2</v>
      </c>
      <c r="C119" s="2" t="s">
        <v>161</v>
      </c>
      <c r="D119" s="3">
        <v>44228</v>
      </c>
      <c r="E119" s="7">
        <v>1042</v>
      </c>
      <c r="F119" s="2" t="s">
        <v>3</v>
      </c>
      <c r="G119" s="2">
        <v>70</v>
      </c>
      <c r="H119" s="7">
        <v>972</v>
      </c>
      <c r="I119" s="2">
        <v>117</v>
      </c>
      <c r="J119" s="116" t="str">
        <f t="shared" si="1"/>
        <v>평일</v>
      </c>
    </row>
    <row r="120" spans="1:10" ht="21.75" hidden="1" customHeight="1" x14ac:dyDescent="0.25">
      <c r="A120" s="2">
        <v>2021</v>
      </c>
      <c r="B120" s="2">
        <v>2</v>
      </c>
      <c r="C120" s="2" t="s">
        <v>162</v>
      </c>
      <c r="D120" s="3">
        <v>44229</v>
      </c>
      <c r="E120" s="7">
        <v>1091</v>
      </c>
      <c r="F120" s="2" t="s">
        <v>3</v>
      </c>
      <c r="G120" s="2">
        <v>95</v>
      </c>
      <c r="H120" s="7">
        <v>996</v>
      </c>
      <c r="I120" s="2">
        <v>118</v>
      </c>
      <c r="J120" s="116" t="str">
        <f t="shared" si="1"/>
        <v>평일</v>
      </c>
    </row>
    <row r="121" spans="1:10" ht="21.75" hidden="1" customHeight="1" x14ac:dyDescent="0.25">
      <c r="A121" s="2">
        <v>2021</v>
      </c>
      <c r="B121" s="2">
        <v>2</v>
      </c>
      <c r="C121" s="2" t="s">
        <v>163</v>
      </c>
      <c r="D121" s="3">
        <v>44230</v>
      </c>
      <c r="E121" s="7">
        <v>1156</v>
      </c>
      <c r="F121" s="2" t="s">
        <v>3</v>
      </c>
      <c r="G121" s="2">
        <v>113</v>
      </c>
      <c r="H121" s="7">
        <v>1043</v>
      </c>
      <c r="I121" s="2">
        <v>119</v>
      </c>
      <c r="J121" s="116" t="str">
        <f t="shared" si="1"/>
        <v>평일</v>
      </c>
    </row>
    <row r="122" spans="1:10" ht="21.75" hidden="1" customHeight="1" x14ac:dyDescent="0.25">
      <c r="A122" s="2">
        <v>2021</v>
      </c>
      <c r="B122" s="2">
        <v>2</v>
      </c>
      <c r="C122" s="2" t="s">
        <v>157</v>
      </c>
      <c r="D122" s="3">
        <v>44231</v>
      </c>
      <c r="E122" s="7">
        <v>1170</v>
      </c>
      <c r="F122" s="2" t="s">
        <v>3</v>
      </c>
      <c r="G122" s="2">
        <v>109</v>
      </c>
      <c r="H122" s="7">
        <v>1061</v>
      </c>
      <c r="I122" s="2">
        <v>120</v>
      </c>
      <c r="J122" s="116" t="str">
        <f t="shared" si="1"/>
        <v>평일</v>
      </c>
    </row>
    <row r="123" spans="1:10" ht="21.75" hidden="1" customHeight="1" x14ac:dyDescent="0.25">
      <c r="A123" s="2">
        <v>2021</v>
      </c>
      <c r="B123" s="2">
        <v>2</v>
      </c>
      <c r="C123" s="2" t="s">
        <v>158</v>
      </c>
      <c r="D123" s="3">
        <v>44232</v>
      </c>
      <c r="E123" s="7">
        <v>1393</v>
      </c>
      <c r="F123" s="2" t="s">
        <v>3</v>
      </c>
      <c r="G123" s="2">
        <v>179</v>
      </c>
      <c r="H123" s="7">
        <v>1214</v>
      </c>
      <c r="I123" s="2">
        <v>121</v>
      </c>
      <c r="J123" s="116" t="str">
        <f t="shared" si="1"/>
        <v>평일</v>
      </c>
    </row>
    <row r="124" spans="1:10" ht="21.75" hidden="1" customHeight="1" x14ac:dyDescent="0.25">
      <c r="A124" s="2">
        <v>2021</v>
      </c>
      <c r="B124" s="2">
        <v>2</v>
      </c>
      <c r="C124" s="2" t="s">
        <v>159</v>
      </c>
      <c r="D124" s="3">
        <v>44233</v>
      </c>
      <c r="E124" s="7">
        <v>2534</v>
      </c>
      <c r="F124" s="2" t="s">
        <v>3</v>
      </c>
      <c r="G124" s="2">
        <v>323</v>
      </c>
      <c r="H124" s="7">
        <v>2211</v>
      </c>
      <c r="I124" s="2">
        <v>122</v>
      </c>
      <c r="J124" s="116" t="str">
        <f t="shared" si="1"/>
        <v>주말</v>
      </c>
    </row>
    <row r="125" spans="1:10" ht="21.75" hidden="1" customHeight="1" x14ac:dyDescent="0.25">
      <c r="A125" s="2">
        <v>2021</v>
      </c>
      <c r="B125" s="2">
        <v>2</v>
      </c>
      <c r="C125" s="2" t="s">
        <v>160</v>
      </c>
      <c r="D125" s="3">
        <v>44234</v>
      </c>
      <c r="E125" s="7">
        <v>2391</v>
      </c>
      <c r="F125" s="2" t="s">
        <v>3</v>
      </c>
      <c r="G125" s="2">
        <v>403</v>
      </c>
      <c r="H125" s="7">
        <v>1988</v>
      </c>
      <c r="I125" s="2">
        <v>123</v>
      </c>
      <c r="J125" s="116" t="str">
        <f t="shared" si="1"/>
        <v>주말</v>
      </c>
    </row>
    <row r="126" spans="1:10" ht="21.75" hidden="1" customHeight="1" x14ac:dyDescent="0.25">
      <c r="A126" s="2">
        <v>2021</v>
      </c>
      <c r="B126" s="2">
        <v>2</v>
      </c>
      <c r="C126" s="2" t="s">
        <v>161</v>
      </c>
      <c r="D126" s="3">
        <v>44235</v>
      </c>
      <c r="E126" s="7">
        <v>642</v>
      </c>
      <c r="F126" s="2" t="s">
        <v>3</v>
      </c>
      <c r="G126" s="2">
        <v>18</v>
      </c>
      <c r="H126" s="7">
        <v>624</v>
      </c>
      <c r="I126" s="2">
        <v>124</v>
      </c>
      <c r="J126" s="116" t="str">
        <f t="shared" si="1"/>
        <v>평일</v>
      </c>
    </row>
    <row r="127" spans="1:10" ht="21.75" hidden="1" customHeight="1" x14ac:dyDescent="0.25">
      <c r="A127" s="2">
        <v>2021</v>
      </c>
      <c r="B127" s="2">
        <v>2</v>
      </c>
      <c r="C127" s="2" t="s">
        <v>162</v>
      </c>
      <c r="D127" s="3">
        <v>44236</v>
      </c>
      <c r="E127" s="7">
        <v>694</v>
      </c>
      <c r="F127" s="2" t="s">
        <v>3</v>
      </c>
      <c r="G127" s="2">
        <v>27</v>
      </c>
      <c r="H127" s="7">
        <v>667</v>
      </c>
      <c r="I127" s="2">
        <v>125</v>
      </c>
      <c r="J127" s="116" t="str">
        <f t="shared" si="1"/>
        <v>평일</v>
      </c>
    </row>
    <row r="128" spans="1:10" ht="21.75" hidden="1" customHeight="1" x14ac:dyDescent="0.25">
      <c r="A128" s="2">
        <v>2021</v>
      </c>
      <c r="B128" s="2">
        <v>2</v>
      </c>
      <c r="C128" s="2" t="s">
        <v>163</v>
      </c>
      <c r="D128" s="3">
        <v>44237</v>
      </c>
      <c r="E128" s="7">
        <v>783</v>
      </c>
      <c r="F128" s="2" t="s">
        <v>3</v>
      </c>
      <c r="G128" s="2">
        <v>33</v>
      </c>
      <c r="H128" s="7">
        <v>750</v>
      </c>
      <c r="I128" s="2">
        <v>126</v>
      </c>
      <c r="J128" s="116" t="str">
        <f t="shared" si="1"/>
        <v>평일</v>
      </c>
    </row>
    <row r="129" spans="1:10" ht="21.75" hidden="1" customHeight="1" x14ac:dyDescent="0.25">
      <c r="A129" s="2">
        <v>2021</v>
      </c>
      <c r="B129" s="2">
        <v>2</v>
      </c>
      <c r="C129" s="2" t="s">
        <v>157</v>
      </c>
      <c r="D129" s="3">
        <v>44238</v>
      </c>
      <c r="E129" s="73">
        <v>0</v>
      </c>
      <c r="F129" s="2" t="s">
        <v>3</v>
      </c>
      <c r="G129" s="2">
        <v>0</v>
      </c>
      <c r="H129" s="7">
        <v>0</v>
      </c>
      <c r="I129" s="2">
        <v>127</v>
      </c>
      <c r="J129" s="116" t="str">
        <f t="shared" si="1"/>
        <v>평일</v>
      </c>
    </row>
    <row r="130" spans="1:10" ht="21.75" hidden="1" customHeight="1" x14ac:dyDescent="0.25">
      <c r="A130" s="2">
        <v>2021</v>
      </c>
      <c r="B130" s="2">
        <v>2</v>
      </c>
      <c r="C130" s="2" t="s">
        <v>158</v>
      </c>
      <c r="D130" s="3">
        <v>44239</v>
      </c>
      <c r="E130" s="73">
        <v>0</v>
      </c>
      <c r="F130" s="2" t="s">
        <v>3</v>
      </c>
      <c r="G130" s="2">
        <v>0</v>
      </c>
      <c r="H130" s="7">
        <v>0</v>
      </c>
      <c r="I130" s="2">
        <v>128</v>
      </c>
      <c r="J130" s="116" t="str">
        <f t="shared" si="1"/>
        <v>평일</v>
      </c>
    </row>
    <row r="131" spans="1:10" ht="21.75" hidden="1" customHeight="1" x14ac:dyDescent="0.25">
      <c r="A131" s="2">
        <v>2021</v>
      </c>
      <c r="B131" s="2">
        <v>2</v>
      </c>
      <c r="C131" s="2" t="s">
        <v>159</v>
      </c>
      <c r="D131" s="3">
        <v>44240</v>
      </c>
      <c r="E131" s="73">
        <v>1939</v>
      </c>
      <c r="F131" s="2" t="s">
        <v>3</v>
      </c>
      <c r="G131" s="2">
        <v>128</v>
      </c>
      <c r="H131" s="7">
        <v>1811</v>
      </c>
      <c r="I131" s="2">
        <v>129</v>
      </c>
      <c r="J131" s="116" t="str">
        <f t="shared" ref="J131:J194" si="2">+IF(OR(C131="토",C131="일"),"주말","평일")</f>
        <v>주말</v>
      </c>
    </row>
    <row r="132" spans="1:10" ht="21.75" hidden="1" customHeight="1" x14ac:dyDescent="0.25">
      <c r="A132" s="2">
        <v>2021</v>
      </c>
      <c r="B132" s="2">
        <v>2</v>
      </c>
      <c r="C132" s="2" t="s">
        <v>160</v>
      </c>
      <c r="D132" s="3">
        <v>44241</v>
      </c>
      <c r="E132" s="73">
        <v>1652</v>
      </c>
      <c r="F132" s="2" t="s">
        <v>3</v>
      </c>
      <c r="G132" s="2">
        <v>116</v>
      </c>
      <c r="H132" s="7">
        <v>1536</v>
      </c>
      <c r="I132" s="2">
        <v>130</v>
      </c>
      <c r="J132" s="116" t="str">
        <f t="shared" si="2"/>
        <v>주말</v>
      </c>
    </row>
    <row r="133" spans="1:10" ht="21.75" hidden="1" customHeight="1" x14ac:dyDescent="0.25">
      <c r="A133" s="2">
        <v>2021</v>
      </c>
      <c r="B133" s="2">
        <v>2</v>
      </c>
      <c r="C133" s="2" t="s">
        <v>161</v>
      </c>
      <c r="D133" s="3">
        <v>44242</v>
      </c>
      <c r="E133" s="73">
        <v>861</v>
      </c>
      <c r="F133" s="2" t="s">
        <v>3</v>
      </c>
      <c r="G133" s="2">
        <v>47</v>
      </c>
      <c r="H133" s="7">
        <v>814</v>
      </c>
      <c r="I133" s="2">
        <v>131</v>
      </c>
      <c r="J133" s="116" t="str">
        <f t="shared" si="2"/>
        <v>평일</v>
      </c>
    </row>
    <row r="134" spans="1:10" ht="21.75" hidden="1" customHeight="1" x14ac:dyDescent="0.25">
      <c r="A134" s="2">
        <v>2021</v>
      </c>
      <c r="B134" s="2">
        <v>2</v>
      </c>
      <c r="C134" s="2" t="s">
        <v>162</v>
      </c>
      <c r="D134" s="3">
        <v>44243</v>
      </c>
      <c r="E134" s="73">
        <v>910</v>
      </c>
      <c r="F134" s="2" t="s">
        <v>3</v>
      </c>
      <c r="G134" s="2">
        <v>38</v>
      </c>
      <c r="H134" s="7">
        <v>872</v>
      </c>
      <c r="I134" s="2">
        <v>132</v>
      </c>
      <c r="J134" s="116" t="str">
        <f t="shared" si="2"/>
        <v>평일</v>
      </c>
    </row>
    <row r="135" spans="1:10" ht="21.75" hidden="1" customHeight="1" x14ac:dyDescent="0.25">
      <c r="A135" s="2">
        <v>2021</v>
      </c>
      <c r="B135" s="2">
        <v>2</v>
      </c>
      <c r="C135" s="2" t="s">
        <v>163</v>
      </c>
      <c r="D135" s="3">
        <v>44244</v>
      </c>
      <c r="E135" s="73">
        <v>1057</v>
      </c>
      <c r="F135" s="2" t="s">
        <v>3</v>
      </c>
      <c r="G135" s="2">
        <v>54</v>
      </c>
      <c r="H135" s="7">
        <v>1003</v>
      </c>
      <c r="I135" s="2">
        <v>133</v>
      </c>
      <c r="J135" s="116" t="str">
        <f t="shared" si="2"/>
        <v>평일</v>
      </c>
    </row>
    <row r="136" spans="1:10" ht="21.75" hidden="1" customHeight="1" x14ac:dyDescent="0.25">
      <c r="A136" s="2">
        <v>2021</v>
      </c>
      <c r="B136" s="2">
        <v>2</v>
      </c>
      <c r="C136" s="2" t="s">
        <v>157</v>
      </c>
      <c r="D136" s="3">
        <v>44245</v>
      </c>
      <c r="E136" s="73">
        <v>1493</v>
      </c>
      <c r="F136" s="2" t="s">
        <v>3</v>
      </c>
      <c r="G136" s="2">
        <v>66</v>
      </c>
      <c r="H136" s="7">
        <v>1427</v>
      </c>
      <c r="I136" s="2">
        <v>134</v>
      </c>
      <c r="J136" s="116" t="str">
        <f t="shared" si="2"/>
        <v>평일</v>
      </c>
    </row>
    <row r="137" spans="1:10" ht="21.75" hidden="1" customHeight="1" x14ac:dyDescent="0.25">
      <c r="A137" s="2">
        <v>2021</v>
      </c>
      <c r="B137" s="2">
        <v>2</v>
      </c>
      <c r="C137" s="2" t="s">
        <v>158</v>
      </c>
      <c r="D137" s="3">
        <v>44246</v>
      </c>
      <c r="E137" s="73">
        <v>2014</v>
      </c>
      <c r="F137" s="2" t="s">
        <v>3</v>
      </c>
      <c r="G137" s="2">
        <v>97</v>
      </c>
      <c r="H137" s="7">
        <v>1917</v>
      </c>
      <c r="I137" s="2">
        <v>135</v>
      </c>
      <c r="J137" s="116" t="str">
        <f t="shared" si="2"/>
        <v>평일</v>
      </c>
    </row>
    <row r="138" spans="1:10" ht="21.75" hidden="1" customHeight="1" x14ac:dyDescent="0.25">
      <c r="A138" s="2">
        <v>2021</v>
      </c>
      <c r="B138" s="2">
        <v>2</v>
      </c>
      <c r="C138" s="2" t="s">
        <v>159</v>
      </c>
      <c r="D138" s="3">
        <v>44247</v>
      </c>
      <c r="E138" s="73">
        <v>3306</v>
      </c>
      <c r="F138" s="2" t="s">
        <v>3</v>
      </c>
      <c r="G138" s="2">
        <v>314</v>
      </c>
      <c r="H138" s="7">
        <v>2992</v>
      </c>
      <c r="I138" s="2">
        <v>136</v>
      </c>
      <c r="J138" s="116" t="str">
        <f t="shared" si="2"/>
        <v>주말</v>
      </c>
    </row>
    <row r="139" spans="1:10" ht="21.75" hidden="1" customHeight="1" x14ac:dyDescent="0.25">
      <c r="A139" s="2">
        <v>2021</v>
      </c>
      <c r="B139" s="2">
        <v>2</v>
      </c>
      <c r="C139" s="2" t="s">
        <v>160</v>
      </c>
      <c r="D139" s="3">
        <v>44248</v>
      </c>
      <c r="E139" s="7" t="s">
        <v>8</v>
      </c>
      <c r="F139" s="2" t="s">
        <v>8</v>
      </c>
      <c r="G139" s="1"/>
      <c r="H139" s="1"/>
      <c r="I139" s="1">
        <v>1</v>
      </c>
      <c r="J139" s="116" t="str">
        <f t="shared" si="2"/>
        <v>주말</v>
      </c>
    </row>
    <row r="140" spans="1:10" ht="21.75" hidden="1" customHeight="1" x14ac:dyDescent="0.25">
      <c r="A140" s="2">
        <v>2021</v>
      </c>
      <c r="B140" s="2">
        <v>2</v>
      </c>
      <c r="C140" s="2" t="s">
        <v>161</v>
      </c>
      <c r="D140" s="3">
        <v>44249</v>
      </c>
      <c r="E140" s="7" t="s">
        <v>8</v>
      </c>
      <c r="F140" s="2" t="s">
        <v>8</v>
      </c>
      <c r="G140" s="1"/>
      <c r="H140" s="1"/>
      <c r="I140" s="1">
        <v>2</v>
      </c>
      <c r="J140" s="116" t="str">
        <f t="shared" si="2"/>
        <v>평일</v>
      </c>
    </row>
    <row r="141" spans="1:10" ht="21.75" hidden="1" customHeight="1" x14ac:dyDescent="0.25">
      <c r="A141" s="2">
        <v>2021</v>
      </c>
      <c r="B141" s="2">
        <v>2</v>
      </c>
      <c r="C141" s="2" t="s">
        <v>162</v>
      </c>
      <c r="D141" s="3">
        <v>44250</v>
      </c>
      <c r="E141" s="7" t="s">
        <v>8</v>
      </c>
      <c r="F141" s="2" t="s">
        <v>8</v>
      </c>
      <c r="G141" s="1"/>
      <c r="H141" s="1"/>
      <c r="I141" s="1">
        <v>3</v>
      </c>
      <c r="J141" s="116" t="str">
        <f t="shared" si="2"/>
        <v>평일</v>
      </c>
    </row>
    <row r="142" spans="1:10" ht="21.75" hidden="1" customHeight="1" x14ac:dyDescent="0.25">
      <c r="A142" s="2">
        <v>2021</v>
      </c>
      <c r="B142" s="2">
        <v>2</v>
      </c>
      <c r="C142" s="2" t="s">
        <v>163</v>
      </c>
      <c r="D142" s="3">
        <v>44251</v>
      </c>
      <c r="E142" s="7" t="s">
        <v>8</v>
      </c>
      <c r="F142" s="2" t="s">
        <v>8</v>
      </c>
      <c r="G142" s="1"/>
      <c r="H142" s="1"/>
      <c r="I142" s="1">
        <v>4</v>
      </c>
      <c r="J142" s="116" t="str">
        <f t="shared" si="2"/>
        <v>평일</v>
      </c>
    </row>
    <row r="143" spans="1:10" ht="21.75" hidden="1" customHeight="1" x14ac:dyDescent="0.25">
      <c r="A143" s="2">
        <v>2021</v>
      </c>
      <c r="B143" s="2">
        <v>2</v>
      </c>
      <c r="C143" s="2" t="s">
        <v>157</v>
      </c>
      <c r="D143" s="3">
        <v>44252</v>
      </c>
      <c r="E143" s="7" t="s">
        <v>8</v>
      </c>
      <c r="F143" s="2" t="s">
        <v>8</v>
      </c>
      <c r="G143" s="1"/>
      <c r="H143" s="1"/>
      <c r="I143" s="1">
        <v>5</v>
      </c>
      <c r="J143" s="116" t="str">
        <f t="shared" si="2"/>
        <v>평일</v>
      </c>
    </row>
    <row r="144" spans="1:10" ht="21.75" hidden="1" customHeight="1" x14ac:dyDescent="0.25">
      <c r="A144" s="2">
        <v>2021</v>
      </c>
      <c r="B144" s="2">
        <v>2</v>
      </c>
      <c r="C144" s="2" t="s">
        <v>158</v>
      </c>
      <c r="D144" s="3">
        <v>44253</v>
      </c>
      <c r="E144" s="7" t="s">
        <v>8</v>
      </c>
      <c r="F144" s="2" t="s">
        <v>8</v>
      </c>
      <c r="G144" s="1"/>
      <c r="H144" s="1"/>
      <c r="I144" s="1">
        <v>6</v>
      </c>
      <c r="J144" s="116" t="str">
        <f t="shared" si="2"/>
        <v>평일</v>
      </c>
    </row>
    <row r="145" spans="1:10" ht="21.75" hidden="1" customHeight="1" x14ac:dyDescent="0.25">
      <c r="A145" s="2">
        <v>2021</v>
      </c>
      <c r="B145" s="2">
        <v>2</v>
      </c>
      <c r="C145" s="2" t="s">
        <v>159</v>
      </c>
      <c r="D145" s="3">
        <v>44254</v>
      </c>
      <c r="E145" s="7" t="s">
        <v>8</v>
      </c>
      <c r="F145" s="2" t="s">
        <v>8</v>
      </c>
      <c r="G145" s="1"/>
      <c r="H145" s="1"/>
      <c r="I145" s="1">
        <v>7</v>
      </c>
      <c r="J145" s="116" t="str">
        <f t="shared" si="2"/>
        <v>주말</v>
      </c>
    </row>
    <row r="146" spans="1:10" ht="21.75" hidden="1" customHeight="1" x14ac:dyDescent="0.25">
      <c r="A146" s="2">
        <v>2021</v>
      </c>
      <c r="B146" s="2">
        <v>2</v>
      </c>
      <c r="C146" s="2" t="s">
        <v>160</v>
      </c>
      <c r="D146" s="3">
        <v>44255</v>
      </c>
      <c r="E146" s="7" t="s">
        <v>8</v>
      </c>
      <c r="F146" s="2" t="s">
        <v>8</v>
      </c>
      <c r="G146" s="1"/>
      <c r="H146" s="1"/>
      <c r="I146" s="1">
        <v>8</v>
      </c>
      <c r="J146" s="116" t="str">
        <f t="shared" si="2"/>
        <v>주말</v>
      </c>
    </row>
    <row r="147" spans="1:10" ht="21.75" hidden="1" customHeight="1" x14ac:dyDescent="0.25">
      <c r="A147" s="2">
        <v>2021</v>
      </c>
      <c r="B147" s="2">
        <v>3</v>
      </c>
      <c r="C147" s="2" t="s">
        <v>161</v>
      </c>
      <c r="D147" s="3">
        <v>44256</v>
      </c>
      <c r="E147" s="7" t="s">
        <v>8</v>
      </c>
      <c r="F147" s="2" t="s">
        <v>8</v>
      </c>
      <c r="G147" s="1"/>
      <c r="H147" s="1"/>
      <c r="I147" s="1">
        <v>9</v>
      </c>
      <c r="J147" s="116" t="str">
        <f t="shared" si="2"/>
        <v>평일</v>
      </c>
    </row>
    <row r="148" spans="1:10" ht="21.75" hidden="1" customHeight="1" x14ac:dyDescent="0.25">
      <c r="A148" s="2">
        <v>2021</v>
      </c>
      <c r="B148" s="2">
        <v>3</v>
      </c>
      <c r="C148" s="2" t="s">
        <v>162</v>
      </c>
      <c r="D148" s="3">
        <v>44257</v>
      </c>
      <c r="E148" s="7" t="s">
        <v>8</v>
      </c>
      <c r="F148" s="2" t="s">
        <v>8</v>
      </c>
      <c r="G148" s="1"/>
      <c r="H148" s="1"/>
      <c r="I148" s="1">
        <v>10</v>
      </c>
      <c r="J148" s="116" t="str">
        <f t="shared" si="2"/>
        <v>평일</v>
      </c>
    </row>
    <row r="149" spans="1:10" ht="21.75" hidden="1" customHeight="1" x14ac:dyDescent="0.25">
      <c r="A149" s="2">
        <v>2021</v>
      </c>
      <c r="B149" s="2">
        <v>3</v>
      </c>
      <c r="C149" s="2" t="s">
        <v>163</v>
      </c>
      <c r="D149" s="3">
        <v>44258</v>
      </c>
      <c r="E149" s="7" t="s">
        <v>8</v>
      </c>
      <c r="F149" s="2" t="s">
        <v>8</v>
      </c>
      <c r="G149" s="1"/>
      <c r="H149" s="1"/>
      <c r="I149" s="1">
        <v>11</v>
      </c>
      <c r="J149" s="116" t="str">
        <f t="shared" si="2"/>
        <v>평일</v>
      </c>
    </row>
    <row r="150" spans="1:10" ht="21.75" hidden="1" customHeight="1" x14ac:dyDescent="0.25">
      <c r="A150" s="2">
        <v>2021</v>
      </c>
      <c r="B150" s="2">
        <v>3</v>
      </c>
      <c r="C150" s="2" t="s">
        <v>157</v>
      </c>
      <c r="D150" s="3">
        <v>44259</v>
      </c>
      <c r="E150" s="7" t="s">
        <v>8</v>
      </c>
      <c r="F150" s="2" t="s">
        <v>8</v>
      </c>
      <c r="G150" s="1"/>
      <c r="H150" s="1"/>
      <c r="I150" s="1">
        <v>12</v>
      </c>
      <c r="J150" s="116" t="str">
        <f t="shared" si="2"/>
        <v>평일</v>
      </c>
    </row>
    <row r="151" spans="1:10" ht="21.75" hidden="1" customHeight="1" x14ac:dyDescent="0.25">
      <c r="A151" s="2">
        <v>2021</v>
      </c>
      <c r="B151" s="2">
        <v>3</v>
      </c>
      <c r="C151" s="2" t="s">
        <v>158</v>
      </c>
      <c r="D151" s="3">
        <v>44260</v>
      </c>
      <c r="E151" s="7" t="s">
        <v>8</v>
      </c>
      <c r="F151" s="2" t="s">
        <v>8</v>
      </c>
      <c r="G151" s="1"/>
      <c r="H151" s="1"/>
      <c r="I151" s="1">
        <v>13</v>
      </c>
      <c r="J151" s="116" t="str">
        <f t="shared" si="2"/>
        <v>평일</v>
      </c>
    </row>
    <row r="152" spans="1:10" ht="21.75" hidden="1" customHeight="1" x14ac:dyDescent="0.25">
      <c r="A152" s="2">
        <v>2021</v>
      </c>
      <c r="B152" s="2">
        <v>3</v>
      </c>
      <c r="C152" s="2" t="s">
        <v>159</v>
      </c>
      <c r="D152" s="3">
        <v>44261</v>
      </c>
      <c r="E152" s="7" t="s">
        <v>8</v>
      </c>
      <c r="F152" s="2" t="s">
        <v>8</v>
      </c>
      <c r="G152" s="1"/>
      <c r="H152" s="1"/>
      <c r="I152" s="1">
        <v>14</v>
      </c>
      <c r="J152" s="116" t="str">
        <f t="shared" si="2"/>
        <v>주말</v>
      </c>
    </row>
    <row r="153" spans="1:10" ht="21.75" hidden="1" customHeight="1" x14ac:dyDescent="0.25">
      <c r="A153" s="2">
        <v>2021</v>
      </c>
      <c r="B153" s="2">
        <v>3</v>
      </c>
      <c r="C153" s="2" t="s">
        <v>160</v>
      </c>
      <c r="D153" s="3">
        <v>44262</v>
      </c>
      <c r="E153" s="7" t="s">
        <v>8</v>
      </c>
      <c r="F153" s="2" t="s">
        <v>8</v>
      </c>
      <c r="G153" s="1"/>
      <c r="H153" s="1"/>
      <c r="I153" s="1">
        <v>15</v>
      </c>
      <c r="J153" s="116" t="str">
        <f t="shared" si="2"/>
        <v>주말</v>
      </c>
    </row>
    <row r="154" spans="1:10" ht="21.75" hidden="1" customHeight="1" x14ac:dyDescent="0.25">
      <c r="A154" s="2">
        <v>2021</v>
      </c>
      <c r="B154" s="2">
        <v>3</v>
      </c>
      <c r="C154" s="2" t="s">
        <v>161</v>
      </c>
      <c r="D154" s="3">
        <v>44263</v>
      </c>
      <c r="E154" s="7" t="s">
        <v>8</v>
      </c>
      <c r="F154" s="2" t="s">
        <v>8</v>
      </c>
      <c r="G154" s="1"/>
      <c r="H154" s="1"/>
      <c r="I154" s="1">
        <v>16</v>
      </c>
      <c r="J154" s="116" t="str">
        <f t="shared" si="2"/>
        <v>평일</v>
      </c>
    </row>
    <row r="155" spans="1:10" ht="21.75" hidden="1" customHeight="1" x14ac:dyDescent="0.25">
      <c r="A155" s="2">
        <v>2021</v>
      </c>
      <c r="B155" s="2">
        <v>3</v>
      </c>
      <c r="C155" s="2" t="s">
        <v>162</v>
      </c>
      <c r="D155" s="3">
        <v>44264</v>
      </c>
      <c r="E155" s="7" t="s">
        <v>8</v>
      </c>
      <c r="F155" s="2" t="s">
        <v>8</v>
      </c>
      <c r="G155" s="1"/>
      <c r="H155" s="1"/>
      <c r="I155" s="1">
        <v>17</v>
      </c>
      <c r="J155" s="116" t="str">
        <f t="shared" si="2"/>
        <v>평일</v>
      </c>
    </row>
    <row r="156" spans="1:10" ht="21.75" hidden="1" customHeight="1" x14ac:dyDescent="0.25">
      <c r="A156" s="2">
        <v>2021</v>
      </c>
      <c r="B156" s="2">
        <v>3</v>
      </c>
      <c r="C156" s="2" t="s">
        <v>163</v>
      </c>
      <c r="D156" s="3">
        <v>44265</v>
      </c>
      <c r="E156" s="7" t="s">
        <v>8</v>
      </c>
      <c r="F156" s="2" t="s">
        <v>8</v>
      </c>
      <c r="G156" s="1"/>
      <c r="H156" s="1"/>
      <c r="I156" s="1">
        <v>18</v>
      </c>
      <c r="J156" s="116" t="str">
        <f t="shared" si="2"/>
        <v>평일</v>
      </c>
    </row>
    <row r="157" spans="1:10" ht="21.75" hidden="1" customHeight="1" x14ac:dyDescent="0.25">
      <c r="A157" s="2">
        <v>2021</v>
      </c>
      <c r="B157" s="2">
        <v>3</v>
      </c>
      <c r="C157" s="2" t="s">
        <v>157</v>
      </c>
      <c r="D157" s="3">
        <v>44266</v>
      </c>
      <c r="E157" s="7" t="s">
        <v>8</v>
      </c>
      <c r="F157" s="2" t="s">
        <v>8</v>
      </c>
      <c r="G157" s="1"/>
      <c r="H157" s="1"/>
      <c r="I157" s="1">
        <v>19</v>
      </c>
      <c r="J157" s="116" t="str">
        <f t="shared" si="2"/>
        <v>평일</v>
      </c>
    </row>
    <row r="158" spans="1:10" ht="21.75" hidden="1" customHeight="1" x14ac:dyDescent="0.25">
      <c r="A158" s="2">
        <v>2021</v>
      </c>
      <c r="B158" s="2">
        <v>3</v>
      </c>
      <c r="C158" s="2" t="s">
        <v>158</v>
      </c>
      <c r="D158" s="3">
        <v>44267</v>
      </c>
      <c r="E158" s="7" t="s">
        <v>8</v>
      </c>
      <c r="F158" s="2" t="s">
        <v>8</v>
      </c>
      <c r="G158" s="1"/>
      <c r="H158" s="1"/>
      <c r="I158" s="1">
        <v>20</v>
      </c>
      <c r="J158" s="116" t="str">
        <f t="shared" si="2"/>
        <v>평일</v>
      </c>
    </row>
    <row r="159" spans="1:10" ht="21.75" hidden="1" customHeight="1" x14ac:dyDescent="0.25">
      <c r="A159" s="2">
        <v>2021</v>
      </c>
      <c r="B159" s="2">
        <v>3</v>
      </c>
      <c r="C159" s="2" t="s">
        <v>159</v>
      </c>
      <c r="D159" s="3">
        <v>44268</v>
      </c>
      <c r="E159" s="7" t="s">
        <v>8</v>
      </c>
      <c r="F159" s="2" t="s">
        <v>8</v>
      </c>
      <c r="G159" s="1"/>
      <c r="H159" s="1"/>
      <c r="I159" s="1">
        <v>21</v>
      </c>
      <c r="J159" s="116" t="str">
        <f t="shared" si="2"/>
        <v>주말</v>
      </c>
    </row>
    <row r="160" spans="1:10" ht="21.75" hidden="1" customHeight="1" x14ac:dyDescent="0.25">
      <c r="A160" s="2">
        <v>2021</v>
      </c>
      <c r="B160" s="2">
        <v>3</v>
      </c>
      <c r="C160" s="2" t="s">
        <v>160</v>
      </c>
      <c r="D160" s="3">
        <v>44269</v>
      </c>
      <c r="E160" s="7" t="s">
        <v>8</v>
      </c>
      <c r="F160" s="2" t="s">
        <v>8</v>
      </c>
      <c r="G160" s="1"/>
      <c r="H160" s="1"/>
      <c r="I160" s="1">
        <v>22</v>
      </c>
      <c r="J160" s="116" t="str">
        <f t="shared" si="2"/>
        <v>주말</v>
      </c>
    </row>
    <row r="161" spans="1:10" ht="21.75" hidden="1" customHeight="1" x14ac:dyDescent="0.25">
      <c r="A161" s="2">
        <v>2021</v>
      </c>
      <c r="B161" s="2">
        <v>3</v>
      </c>
      <c r="C161" s="2" t="s">
        <v>161</v>
      </c>
      <c r="D161" s="3">
        <v>44270</v>
      </c>
      <c r="E161" s="7" t="s">
        <v>8</v>
      </c>
      <c r="F161" s="2" t="s">
        <v>8</v>
      </c>
      <c r="G161" s="1"/>
      <c r="H161" s="1"/>
      <c r="I161" s="1">
        <v>23</v>
      </c>
      <c r="J161" s="116" t="str">
        <f t="shared" si="2"/>
        <v>평일</v>
      </c>
    </row>
    <row r="162" spans="1:10" ht="21.75" hidden="1" customHeight="1" x14ac:dyDescent="0.25">
      <c r="A162" s="2">
        <v>2021</v>
      </c>
      <c r="B162" s="2">
        <v>3</v>
      </c>
      <c r="C162" s="2" t="s">
        <v>162</v>
      </c>
      <c r="D162" s="3">
        <v>44271</v>
      </c>
      <c r="E162" s="7" t="s">
        <v>8</v>
      </c>
      <c r="F162" s="2" t="s">
        <v>8</v>
      </c>
      <c r="G162" s="1"/>
      <c r="H162" s="1"/>
      <c r="I162" s="1">
        <v>24</v>
      </c>
      <c r="J162" s="116" t="str">
        <f t="shared" si="2"/>
        <v>평일</v>
      </c>
    </row>
    <row r="163" spans="1:10" ht="21.75" hidden="1" customHeight="1" x14ac:dyDescent="0.25">
      <c r="A163" s="2">
        <v>2021</v>
      </c>
      <c r="B163" s="2">
        <v>3</v>
      </c>
      <c r="C163" s="2" t="s">
        <v>163</v>
      </c>
      <c r="D163" s="3">
        <v>44272</v>
      </c>
      <c r="E163" s="7" t="s">
        <v>8</v>
      </c>
      <c r="F163" s="2" t="s">
        <v>8</v>
      </c>
      <c r="G163" s="1"/>
      <c r="H163" s="1"/>
      <c r="I163" s="1">
        <v>25</v>
      </c>
      <c r="J163" s="116" t="str">
        <f t="shared" si="2"/>
        <v>평일</v>
      </c>
    </row>
    <row r="164" spans="1:10" ht="21.75" hidden="1" customHeight="1" x14ac:dyDescent="0.25">
      <c r="A164" s="2">
        <v>2021</v>
      </c>
      <c r="B164" s="2">
        <v>3</v>
      </c>
      <c r="C164" s="2" t="s">
        <v>157</v>
      </c>
      <c r="D164" s="3">
        <v>44273</v>
      </c>
      <c r="E164" s="7" t="s">
        <v>8</v>
      </c>
      <c r="F164" s="2" t="s">
        <v>8</v>
      </c>
      <c r="G164" s="1"/>
      <c r="H164" s="1"/>
      <c r="I164" s="1">
        <v>26</v>
      </c>
      <c r="J164" s="116" t="str">
        <f t="shared" si="2"/>
        <v>평일</v>
      </c>
    </row>
    <row r="165" spans="1:10" ht="21.75" hidden="1" customHeight="1" x14ac:dyDescent="0.25">
      <c r="A165" s="2">
        <v>2021</v>
      </c>
      <c r="B165" s="2">
        <v>3</v>
      </c>
      <c r="C165" s="2" t="s">
        <v>158</v>
      </c>
      <c r="D165" s="3">
        <v>44274</v>
      </c>
      <c r="E165" s="7" t="s">
        <v>8</v>
      </c>
      <c r="F165" s="2" t="s">
        <v>8</v>
      </c>
      <c r="G165" s="1"/>
      <c r="H165" s="1"/>
      <c r="I165" s="1">
        <v>27</v>
      </c>
      <c r="J165" s="116" t="str">
        <f t="shared" si="2"/>
        <v>평일</v>
      </c>
    </row>
    <row r="166" spans="1:10" ht="21.75" hidden="1" customHeight="1" x14ac:dyDescent="0.25">
      <c r="A166" s="2">
        <v>2021</v>
      </c>
      <c r="B166" s="2">
        <v>3</v>
      </c>
      <c r="C166" s="2" t="s">
        <v>159</v>
      </c>
      <c r="D166" s="3">
        <v>44275</v>
      </c>
      <c r="E166" s="7" t="s">
        <v>8</v>
      </c>
      <c r="F166" s="2" t="s">
        <v>8</v>
      </c>
      <c r="G166" s="1"/>
      <c r="H166" s="1"/>
      <c r="I166" s="1">
        <v>28</v>
      </c>
      <c r="J166" s="116" t="str">
        <f t="shared" si="2"/>
        <v>주말</v>
      </c>
    </row>
    <row r="167" spans="1:10" ht="21.75" hidden="1" customHeight="1" x14ac:dyDescent="0.25">
      <c r="A167" s="2">
        <v>2021</v>
      </c>
      <c r="B167" s="2">
        <v>3</v>
      </c>
      <c r="C167" s="2" t="s">
        <v>160</v>
      </c>
      <c r="D167" s="3">
        <v>44276</v>
      </c>
      <c r="E167" s="7" t="s">
        <v>8</v>
      </c>
      <c r="F167" s="2" t="s">
        <v>8</v>
      </c>
      <c r="G167" s="1"/>
      <c r="H167" s="1"/>
      <c r="I167" s="1">
        <v>29</v>
      </c>
      <c r="J167" s="116" t="str">
        <f t="shared" si="2"/>
        <v>주말</v>
      </c>
    </row>
    <row r="168" spans="1:10" ht="21.75" hidden="1" customHeight="1" x14ac:dyDescent="0.25">
      <c r="A168" s="2">
        <v>2021</v>
      </c>
      <c r="B168" s="2">
        <v>3</v>
      </c>
      <c r="C168" s="2" t="s">
        <v>161</v>
      </c>
      <c r="D168" s="3">
        <v>44277</v>
      </c>
      <c r="E168" s="7" t="s">
        <v>8</v>
      </c>
      <c r="F168" s="2" t="s">
        <v>8</v>
      </c>
      <c r="G168" s="1"/>
      <c r="H168" s="1"/>
      <c r="I168" s="1">
        <v>30</v>
      </c>
      <c r="J168" s="116" t="str">
        <f t="shared" si="2"/>
        <v>평일</v>
      </c>
    </row>
    <row r="169" spans="1:10" ht="21.75" hidden="1" customHeight="1" x14ac:dyDescent="0.25">
      <c r="A169" s="2">
        <v>2021</v>
      </c>
      <c r="B169" s="2">
        <v>3</v>
      </c>
      <c r="C169" s="2" t="s">
        <v>162</v>
      </c>
      <c r="D169" s="3">
        <v>44278</v>
      </c>
      <c r="E169" s="7" t="s">
        <v>8</v>
      </c>
      <c r="F169" s="2" t="s">
        <v>8</v>
      </c>
      <c r="G169" s="1"/>
      <c r="H169" s="1"/>
      <c r="I169" s="1">
        <v>31</v>
      </c>
      <c r="J169" s="116" t="str">
        <f t="shared" si="2"/>
        <v>평일</v>
      </c>
    </row>
    <row r="170" spans="1:10" ht="21.75" hidden="1" customHeight="1" x14ac:dyDescent="0.25">
      <c r="A170" s="2">
        <v>2021</v>
      </c>
      <c r="B170" s="2">
        <v>3</v>
      </c>
      <c r="C170" s="2" t="s">
        <v>163</v>
      </c>
      <c r="D170" s="3">
        <v>44279</v>
      </c>
      <c r="E170" s="7" t="s">
        <v>8</v>
      </c>
      <c r="F170" s="2" t="s">
        <v>8</v>
      </c>
      <c r="G170" s="1"/>
      <c r="H170" s="1"/>
      <c r="I170" s="1">
        <v>32</v>
      </c>
      <c r="J170" s="116" t="str">
        <f t="shared" si="2"/>
        <v>평일</v>
      </c>
    </row>
    <row r="171" spans="1:10" ht="21.75" hidden="1" customHeight="1" x14ac:dyDescent="0.25">
      <c r="A171" s="2">
        <v>2021</v>
      </c>
      <c r="B171" s="2">
        <v>3</v>
      </c>
      <c r="C171" s="2" t="s">
        <v>157</v>
      </c>
      <c r="D171" s="3">
        <v>44280</v>
      </c>
      <c r="E171" s="7" t="s">
        <v>8</v>
      </c>
      <c r="F171" s="2" t="s">
        <v>8</v>
      </c>
      <c r="G171" s="1"/>
      <c r="H171" s="1"/>
      <c r="I171" s="1">
        <v>33</v>
      </c>
      <c r="J171" s="116" t="str">
        <f t="shared" si="2"/>
        <v>평일</v>
      </c>
    </row>
    <row r="172" spans="1:10" ht="21.75" hidden="1" customHeight="1" x14ac:dyDescent="0.25">
      <c r="A172" s="2">
        <v>2021</v>
      </c>
      <c r="B172" s="2">
        <v>3</v>
      </c>
      <c r="C172" s="2" t="s">
        <v>158</v>
      </c>
      <c r="D172" s="3">
        <v>44281</v>
      </c>
      <c r="E172" s="7" t="s">
        <v>8</v>
      </c>
      <c r="F172" s="2" t="s">
        <v>8</v>
      </c>
      <c r="G172" s="1"/>
      <c r="H172" s="1"/>
      <c r="I172" s="1">
        <v>34</v>
      </c>
      <c r="J172" s="116" t="str">
        <f t="shared" si="2"/>
        <v>평일</v>
      </c>
    </row>
    <row r="173" spans="1:10" ht="21.75" hidden="1" customHeight="1" x14ac:dyDescent="0.25">
      <c r="A173" s="2">
        <v>2021</v>
      </c>
      <c r="B173" s="2">
        <v>3</v>
      </c>
      <c r="C173" s="2" t="s">
        <v>159</v>
      </c>
      <c r="D173" s="3">
        <v>44282</v>
      </c>
      <c r="E173" s="7" t="s">
        <v>8</v>
      </c>
      <c r="F173" s="2" t="s">
        <v>8</v>
      </c>
      <c r="G173" s="1"/>
      <c r="H173" s="1"/>
      <c r="I173" s="1">
        <v>35</v>
      </c>
      <c r="J173" s="116" t="str">
        <f t="shared" si="2"/>
        <v>주말</v>
      </c>
    </row>
    <row r="174" spans="1:10" ht="21.75" hidden="1" customHeight="1" x14ac:dyDescent="0.25">
      <c r="A174" s="2">
        <v>2021</v>
      </c>
      <c r="B174" s="2">
        <v>3</v>
      </c>
      <c r="C174" s="2" t="s">
        <v>160</v>
      </c>
      <c r="D174" s="3">
        <v>44283</v>
      </c>
      <c r="E174" s="7" t="s">
        <v>8</v>
      </c>
      <c r="F174" s="2" t="s">
        <v>8</v>
      </c>
      <c r="G174" s="1"/>
      <c r="H174" s="1"/>
      <c r="I174" s="1">
        <v>36</v>
      </c>
      <c r="J174" s="116" t="str">
        <f t="shared" si="2"/>
        <v>주말</v>
      </c>
    </row>
    <row r="175" spans="1:10" ht="21.75" hidden="1" customHeight="1" x14ac:dyDescent="0.25">
      <c r="A175" s="2">
        <v>2021</v>
      </c>
      <c r="B175" s="2">
        <v>3</v>
      </c>
      <c r="C175" s="2" t="s">
        <v>161</v>
      </c>
      <c r="D175" s="3">
        <v>44284</v>
      </c>
      <c r="E175" s="7" t="s">
        <v>8</v>
      </c>
      <c r="F175" s="2" t="s">
        <v>8</v>
      </c>
      <c r="G175" s="1"/>
      <c r="H175" s="1"/>
      <c r="I175" s="1">
        <v>37</v>
      </c>
      <c r="J175" s="116" t="str">
        <f t="shared" si="2"/>
        <v>평일</v>
      </c>
    </row>
    <row r="176" spans="1:10" ht="21.75" hidden="1" customHeight="1" x14ac:dyDescent="0.25">
      <c r="A176" s="2">
        <v>2021</v>
      </c>
      <c r="B176" s="2">
        <v>3</v>
      </c>
      <c r="C176" s="2" t="s">
        <v>162</v>
      </c>
      <c r="D176" s="3">
        <v>44285</v>
      </c>
      <c r="E176" s="7" t="s">
        <v>8</v>
      </c>
      <c r="F176" s="2" t="s">
        <v>8</v>
      </c>
      <c r="G176" s="1"/>
      <c r="H176" s="1"/>
      <c r="I176" s="1">
        <v>38</v>
      </c>
      <c r="J176" s="116" t="str">
        <f t="shared" si="2"/>
        <v>평일</v>
      </c>
    </row>
    <row r="177" spans="1:10" ht="21.75" hidden="1" customHeight="1" x14ac:dyDescent="0.25">
      <c r="A177" s="2">
        <v>2021</v>
      </c>
      <c r="B177" s="2">
        <v>3</v>
      </c>
      <c r="C177" s="2" t="s">
        <v>163</v>
      </c>
      <c r="D177" s="3">
        <v>44286</v>
      </c>
      <c r="E177" s="7" t="s">
        <v>8</v>
      </c>
      <c r="F177" s="2" t="s">
        <v>8</v>
      </c>
      <c r="G177" s="1"/>
      <c r="H177" s="1"/>
      <c r="I177" s="1">
        <v>39</v>
      </c>
      <c r="J177" s="116" t="str">
        <f t="shared" si="2"/>
        <v>평일</v>
      </c>
    </row>
    <row r="178" spans="1:10" ht="21.75" hidden="1" customHeight="1" x14ac:dyDescent="0.25">
      <c r="A178" s="2">
        <v>2021</v>
      </c>
      <c r="B178" s="2">
        <v>4</v>
      </c>
      <c r="C178" s="2" t="s">
        <v>157</v>
      </c>
      <c r="D178" s="3">
        <v>44287</v>
      </c>
      <c r="E178" s="7" t="s">
        <v>8</v>
      </c>
      <c r="F178" s="2" t="s">
        <v>8</v>
      </c>
      <c r="G178" s="1"/>
      <c r="H178" s="1"/>
      <c r="I178" s="1">
        <v>40</v>
      </c>
      <c r="J178" s="116" t="str">
        <f t="shared" si="2"/>
        <v>평일</v>
      </c>
    </row>
    <row r="179" spans="1:10" ht="21.75" hidden="1" customHeight="1" x14ac:dyDescent="0.25">
      <c r="A179" s="2">
        <v>2021</v>
      </c>
      <c r="B179" s="2">
        <v>4</v>
      </c>
      <c r="C179" s="2" t="s">
        <v>158</v>
      </c>
      <c r="D179" s="3">
        <v>44288</v>
      </c>
      <c r="E179" s="7" t="s">
        <v>8</v>
      </c>
      <c r="F179" s="2" t="s">
        <v>8</v>
      </c>
      <c r="G179" s="1"/>
      <c r="H179" s="1"/>
      <c r="I179" s="1">
        <v>41</v>
      </c>
      <c r="J179" s="116" t="str">
        <f t="shared" si="2"/>
        <v>평일</v>
      </c>
    </row>
    <row r="180" spans="1:10" ht="21.75" hidden="1" customHeight="1" x14ac:dyDescent="0.25">
      <c r="A180" s="2">
        <v>2021</v>
      </c>
      <c r="B180" s="2">
        <v>4</v>
      </c>
      <c r="C180" s="2" t="s">
        <v>159</v>
      </c>
      <c r="D180" s="3">
        <v>44289</v>
      </c>
      <c r="E180" s="7" t="s">
        <v>8</v>
      </c>
      <c r="F180" s="2" t="s">
        <v>8</v>
      </c>
      <c r="G180" s="1"/>
      <c r="H180" s="1"/>
      <c r="I180" s="1">
        <v>42</v>
      </c>
      <c r="J180" s="116" t="str">
        <f t="shared" si="2"/>
        <v>주말</v>
      </c>
    </row>
    <row r="181" spans="1:10" ht="21.75" hidden="1" customHeight="1" x14ac:dyDescent="0.25">
      <c r="A181" s="2">
        <v>2021</v>
      </c>
      <c r="B181" s="2">
        <v>4</v>
      </c>
      <c r="C181" s="2" t="s">
        <v>160</v>
      </c>
      <c r="D181" s="3">
        <v>44290</v>
      </c>
      <c r="E181" s="7" t="s">
        <v>8</v>
      </c>
      <c r="F181" s="2" t="s">
        <v>8</v>
      </c>
      <c r="G181" s="1"/>
      <c r="H181" s="1"/>
      <c r="I181" s="1">
        <v>43</v>
      </c>
      <c r="J181" s="116" t="str">
        <f t="shared" si="2"/>
        <v>주말</v>
      </c>
    </row>
    <row r="182" spans="1:10" ht="21.75" hidden="1" customHeight="1" x14ac:dyDescent="0.25">
      <c r="A182" s="2">
        <v>2021</v>
      </c>
      <c r="B182" s="2">
        <v>4</v>
      </c>
      <c r="C182" s="2" t="s">
        <v>161</v>
      </c>
      <c r="D182" s="3">
        <v>44291</v>
      </c>
      <c r="E182" s="7" t="s">
        <v>8</v>
      </c>
      <c r="F182" s="2" t="s">
        <v>8</v>
      </c>
      <c r="G182" s="1"/>
      <c r="H182" s="1"/>
      <c r="I182" s="1">
        <v>44</v>
      </c>
      <c r="J182" s="116" t="str">
        <f t="shared" si="2"/>
        <v>평일</v>
      </c>
    </row>
    <row r="183" spans="1:10" ht="21.75" hidden="1" customHeight="1" x14ac:dyDescent="0.25">
      <c r="A183" s="2">
        <v>2021</v>
      </c>
      <c r="B183" s="2">
        <v>4</v>
      </c>
      <c r="C183" s="2" t="s">
        <v>162</v>
      </c>
      <c r="D183" s="3">
        <v>44292</v>
      </c>
      <c r="E183" s="7" t="s">
        <v>8</v>
      </c>
      <c r="F183" s="2" t="s">
        <v>8</v>
      </c>
      <c r="G183" s="1"/>
      <c r="H183" s="1"/>
      <c r="I183" s="1">
        <v>45</v>
      </c>
      <c r="J183" s="116" t="str">
        <f t="shared" si="2"/>
        <v>평일</v>
      </c>
    </row>
    <row r="184" spans="1:10" ht="21.75" hidden="1" customHeight="1" x14ac:dyDescent="0.25">
      <c r="A184" s="2">
        <v>2021</v>
      </c>
      <c r="B184" s="2">
        <v>4</v>
      </c>
      <c r="C184" s="2" t="s">
        <v>163</v>
      </c>
      <c r="D184" s="3">
        <v>44293</v>
      </c>
      <c r="E184" s="7" t="s">
        <v>8</v>
      </c>
      <c r="F184" s="2" t="s">
        <v>8</v>
      </c>
      <c r="G184" s="1"/>
      <c r="H184" s="1"/>
      <c r="I184" s="1">
        <v>46</v>
      </c>
      <c r="J184" s="116" t="str">
        <f t="shared" si="2"/>
        <v>평일</v>
      </c>
    </row>
    <row r="185" spans="1:10" ht="21.75" hidden="1" customHeight="1" x14ac:dyDescent="0.25">
      <c r="A185" s="2">
        <v>2021</v>
      </c>
      <c r="B185" s="2">
        <v>4</v>
      </c>
      <c r="C185" s="2" t="s">
        <v>157</v>
      </c>
      <c r="D185" s="3">
        <v>44294</v>
      </c>
      <c r="E185" s="7" t="s">
        <v>8</v>
      </c>
      <c r="F185" s="2" t="s">
        <v>8</v>
      </c>
      <c r="G185" s="1"/>
      <c r="H185" s="1"/>
      <c r="I185" s="1">
        <v>47</v>
      </c>
      <c r="J185" s="116" t="str">
        <f t="shared" si="2"/>
        <v>평일</v>
      </c>
    </row>
    <row r="186" spans="1:10" ht="21.75" hidden="1" customHeight="1" x14ac:dyDescent="0.25">
      <c r="A186" s="2">
        <v>2021</v>
      </c>
      <c r="B186" s="2">
        <v>4</v>
      </c>
      <c r="C186" s="2" t="s">
        <v>158</v>
      </c>
      <c r="D186" s="3">
        <v>44295</v>
      </c>
      <c r="E186" s="7" t="s">
        <v>8</v>
      </c>
      <c r="F186" s="2" t="s">
        <v>8</v>
      </c>
      <c r="G186" s="1"/>
      <c r="H186" s="1"/>
      <c r="I186" s="1">
        <v>48</v>
      </c>
      <c r="J186" s="116" t="str">
        <f t="shared" si="2"/>
        <v>평일</v>
      </c>
    </row>
    <row r="187" spans="1:10" ht="21.75" hidden="1" customHeight="1" x14ac:dyDescent="0.25">
      <c r="A187" s="2">
        <v>2021</v>
      </c>
      <c r="B187" s="2">
        <v>4</v>
      </c>
      <c r="C187" s="2" t="s">
        <v>159</v>
      </c>
      <c r="D187" s="3">
        <v>44296</v>
      </c>
      <c r="E187" s="7" t="s">
        <v>8</v>
      </c>
      <c r="F187" s="2" t="s">
        <v>8</v>
      </c>
      <c r="G187" s="1"/>
      <c r="H187" s="1"/>
      <c r="I187" s="1">
        <v>49</v>
      </c>
      <c r="J187" s="116" t="str">
        <f t="shared" si="2"/>
        <v>주말</v>
      </c>
    </row>
    <row r="188" spans="1:10" ht="21.75" hidden="1" customHeight="1" x14ac:dyDescent="0.25">
      <c r="A188" s="2">
        <v>2021</v>
      </c>
      <c r="B188" s="2">
        <v>4</v>
      </c>
      <c r="C188" s="2" t="s">
        <v>160</v>
      </c>
      <c r="D188" s="3">
        <v>44297</v>
      </c>
      <c r="E188" s="7" t="s">
        <v>8</v>
      </c>
      <c r="F188" s="2" t="s">
        <v>8</v>
      </c>
      <c r="G188" s="1"/>
      <c r="H188" s="1"/>
      <c r="I188" s="1">
        <v>50</v>
      </c>
      <c r="J188" s="116" t="str">
        <f t="shared" si="2"/>
        <v>주말</v>
      </c>
    </row>
    <row r="189" spans="1:10" ht="21.75" hidden="1" customHeight="1" x14ac:dyDescent="0.25">
      <c r="A189" s="2">
        <v>2021</v>
      </c>
      <c r="B189" s="2">
        <v>4</v>
      </c>
      <c r="C189" s="2" t="s">
        <v>161</v>
      </c>
      <c r="D189" s="3">
        <v>44298</v>
      </c>
      <c r="E189" s="7" t="s">
        <v>8</v>
      </c>
      <c r="F189" s="2" t="s">
        <v>8</v>
      </c>
      <c r="G189" s="1"/>
      <c r="H189" s="1"/>
      <c r="I189" s="1">
        <v>51</v>
      </c>
      <c r="J189" s="116" t="str">
        <f t="shared" si="2"/>
        <v>평일</v>
      </c>
    </row>
    <row r="190" spans="1:10" ht="21.75" hidden="1" customHeight="1" x14ac:dyDescent="0.25">
      <c r="A190" s="2">
        <v>2021</v>
      </c>
      <c r="B190" s="2">
        <v>4</v>
      </c>
      <c r="C190" s="2" t="s">
        <v>162</v>
      </c>
      <c r="D190" s="3">
        <v>44299</v>
      </c>
      <c r="E190" s="7" t="s">
        <v>8</v>
      </c>
      <c r="F190" s="2" t="s">
        <v>8</v>
      </c>
      <c r="G190" s="1"/>
      <c r="H190" s="1"/>
      <c r="I190" s="1">
        <v>52</v>
      </c>
      <c r="J190" s="116" t="str">
        <f t="shared" si="2"/>
        <v>평일</v>
      </c>
    </row>
    <row r="191" spans="1:10" ht="21.75" hidden="1" customHeight="1" x14ac:dyDescent="0.25">
      <c r="A191" s="2">
        <v>2021</v>
      </c>
      <c r="B191" s="2">
        <v>4</v>
      </c>
      <c r="C191" s="2" t="s">
        <v>163</v>
      </c>
      <c r="D191" s="3">
        <v>44300</v>
      </c>
      <c r="E191" s="7" t="s">
        <v>8</v>
      </c>
      <c r="F191" s="2" t="s">
        <v>8</v>
      </c>
      <c r="G191" s="1"/>
      <c r="H191" s="1"/>
      <c r="I191" s="1">
        <v>53</v>
      </c>
      <c r="J191" s="116" t="str">
        <f t="shared" si="2"/>
        <v>평일</v>
      </c>
    </row>
    <row r="192" spans="1:10" ht="21.75" hidden="1" customHeight="1" x14ac:dyDescent="0.25">
      <c r="A192" s="2">
        <v>2021</v>
      </c>
      <c r="B192" s="2">
        <v>4</v>
      </c>
      <c r="C192" s="2" t="s">
        <v>157</v>
      </c>
      <c r="D192" s="3">
        <v>44301</v>
      </c>
      <c r="E192" s="7" t="s">
        <v>8</v>
      </c>
      <c r="F192" s="2" t="s">
        <v>8</v>
      </c>
      <c r="G192" s="1"/>
      <c r="H192" s="1"/>
      <c r="I192" s="1">
        <v>54</v>
      </c>
      <c r="J192" s="116" t="str">
        <f t="shared" si="2"/>
        <v>평일</v>
      </c>
    </row>
    <row r="193" spans="1:10" ht="21.75" hidden="1" customHeight="1" x14ac:dyDescent="0.25">
      <c r="A193" s="2">
        <v>2021</v>
      </c>
      <c r="B193" s="2">
        <v>4</v>
      </c>
      <c r="C193" s="2" t="s">
        <v>158</v>
      </c>
      <c r="D193" s="3">
        <v>44302</v>
      </c>
      <c r="E193" s="7">
        <v>158</v>
      </c>
      <c r="F193" s="2" t="s">
        <v>5</v>
      </c>
      <c r="G193" s="1">
        <v>55</v>
      </c>
      <c r="H193" s="6">
        <v>103</v>
      </c>
      <c r="I193" s="1">
        <v>1</v>
      </c>
      <c r="J193" s="116" t="str">
        <f t="shared" si="2"/>
        <v>평일</v>
      </c>
    </row>
    <row r="194" spans="1:10" ht="21.75" hidden="1" customHeight="1" x14ac:dyDescent="0.25">
      <c r="A194" s="2">
        <v>2021</v>
      </c>
      <c r="B194" s="2">
        <v>4</v>
      </c>
      <c r="C194" s="2" t="s">
        <v>159</v>
      </c>
      <c r="D194" s="3">
        <v>44303</v>
      </c>
      <c r="E194" s="7">
        <v>265</v>
      </c>
      <c r="F194" s="2" t="s">
        <v>5</v>
      </c>
      <c r="G194" s="1">
        <v>21</v>
      </c>
      <c r="H194" s="6">
        <v>244</v>
      </c>
      <c r="I194" s="1">
        <v>2</v>
      </c>
      <c r="J194" s="116" t="str">
        <f t="shared" si="2"/>
        <v>주말</v>
      </c>
    </row>
    <row r="195" spans="1:10" ht="21.75" hidden="1" customHeight="1" x14ac:dyDescent="0.25">
      <c r="A195" s="2">
        <v>2021</v>
      </c>
      <c r="B195" s="2">
        <v>4</v>
      </c>
      <c r="C195" s="2" t="s">
        <v>160</v>
      </c>
      <c r="D195" s="3">
        <v>44304</v>
      </c>
      <c r="E195" s="7">
        <v>151</v>
      </c>
      <c r="F195" s="2" t="s">
        <v>5</v>
      </c>
      <c r="G195" s="1">
        <v>13</v>
      </c>
      <c r="H195" s="6">
        <v>138</v>
      </c>
      <c r="I195" s="1">
        <v>3</v>
      </c>
      <c r="J195" s="116" t="str">
        <f t="shared" ref="J195:J258" si="3">+IF(OR(C195="토",C195="일"),"주말","평일")</f>
        <v>주말</v>
      </c>
    </row>
    <row r="196" spans="1:10" ht="21.75" hidden="1" customHeight="1" x14ac:dyDescent="0.25">
      <c r="A196" s="2">
        <v>2021</v>
      </c>
      <c r="B196" s="2">
        <v>4</v>
      </c>
      <c r="C196" s="2" t="s">
        <v>161</v>
      </c>
      <c r="D196" s="3">
        <v>44305</v>
      </c>
      <c r="E196" s="7">
        <v>0</v>
      </c>
      <c r="F196" s="2" t="s">
        <v>5</v>
      </c>
      <c r="G196" s="1">
        <v>0</v>
      </c>
      <c r="H196" s="6">
        <v>0</v>
      </c>
      <c r="I196" s="1">
        <v>4</v>
      </c>
      <c r="J196" s="116" t="str">
        <f t="shared" si="3"/>
        <v>평일</v>
      </c>
    </row>
    <row r="197" spans="1:10" ht="21.75" hidden="1" customHeight="1" x14ac:dyDescent="0.25">
      <c r="A197" s="2">
        <v>2021</v>
      </c>
      <c r="B197" s="2">
        <v>4</v>
      </c>
      <c r="C197" s="2" t="s">
        <v>162</v>
      </c>
      <c r="D197" s="3">
        <v>44306</v>
      </c>
      <c r="E197" s="7">
        <v>70</v>
      </c>
      <c r="F197" s="2" t="s">
        <v>5</v>
      </c>
      <c r="G197" s="1">
        <v>5</v>
      </c>
      <c r="H197" s="6">
        <v>65</v>
      </c>
      <c r="I197" s="1">
        <v>5</v>
      </c>
      <c r="J197" s="116" t="str">
        <f t="shared" si="3"/>
        <v>평일</v>
      </c>
    </row>
    <row r="198" spans="1:10" ht="21.75" hidden="1" customHeight="1" x14ac:dyDescent="0.25">
      <c r="A198" s="2">
        <v>2021</v>
      </c>
      <c r="B198" s="2">
        <v>4</v>
      </c>
      <c r="C198" s="2" t="s">
        <v>163</v>
      </c>
      <c r="D198" s="3">
        <v>44307</v>
      </c>
      <c r="E198" s="7">
        <v>69</v>
      </c>
      <c r="F198" s="2" t="s">
        <v>5</v>
      </c>
      <c r="G198" s="1">
        <v>16</v>
      </c>
      <c r="H198" s="6">
        <v>53</v>
      </c>
      <c r="I198" s="1">
        <v>6</v>
      </c>
      <c r="J198" s="116" t="str">
        <f t="shared" si="3"/>
        <v>평일</v>
      </c>
    </row>
    <row r="199" spans="1:10" ht="21.75" hidden="1" customHeight="1" x14ac:dyDescent="0.25">
      <c r="A199" s="2">
        <v>2021</v>
      </c>
      <c r="B199" s="2">
        <v>4</v>
      </c>
      <c r="C199" s="2" t="s">
        <v>157</v>
      </c>
      <c r="D199" s="3">
        <v>44308</v>
      </c>
      <c r="E199" s="7">
        <v>132</v>
      </c>
      <c r="F199" s="2" t="s">
        <v>5</v>
      </c>
      <c r="G199" s="1">
        <v>40</v>
      </c>
      <c r="H199" s="6">
        <v>92</v>
      </c>
      <c r="I199" s="1">
        <v>7</v>
      </c>
      <c r="J199" s="116" t="str">
        <f t="shared" si="3"/>
        <v>평일</v>
      </c>
    </row>
    <row r="200" spans="1:10" ht="21.75" hidden="1" customHeight="1" x14ac:dyDescent="0.25">
      <c r="A200" s="2">
        <v>2021</v>
      </c>
      <c r="B200" s="2">
        <v>4</v>
      </c>
      <c r="C200" s="2" t="s">
        <v>158</v>
      </c>
      <c r="D200" s="3">
        <v>44309</v>
      </c>
      <c r="E200" s="7">
        <v>96</v>
      </c>
      <c r="F200" s="2" t="s">
        <v>5</v>
      </c>
      <c r="G200" s="1">
        <v>12</v>
      </c>
      <c r="H200" s="6">
        <v>84</v>
      </c>
      <c r="I200" s="1">
        <v>8</v>
      </c>
      <c r="J200" s="116" t="str">
        <f t="shared" si="3"/>
        <v>평일</v>
      </c>
    </row>
    <row r="201" spans="1:10" ht="21.75" hidden="1" customHeight="1" x14ac:dyDescent="0.25">
      <c r="A201" s="2">
        <v>2021</v>
      </c>
      <c r="B201" s="2">
        <v>4</v>
      </c>
      <c r="C201" s="2" t="s">
        <v>159</v>
      </c>
      <c r="D201" s="3">
        <v>44310</v>
      </c>
      <c r="E201" s="7">
        <v>254</v>
      </c>
      <c r="F201" s="2" t="s">
        <v>5</v>
      </c>
      <c r="G201" s="1">
        <v>35</v>
      </c>
      <c r="H201" s="6">
        <v>219</v>
      </c>
      <c r="I201" s="1">
        <v>9</v>
      </c>
      <c r="J201" s="116" t="str">
        <f t="shared" si="3"/>
        <v>주말</v>
      </c>
    </row>
    <row r="202" spans="1:10" ht="21.75" hidden="1" customHeight="1" x14ac:dyDescent="0.25">
      <c r="A202" s="2">
        <v>2021</v>
      </c>
      <c r="B202" s="2">
        <v>4</v>
      </c>
      <c r="C202" s="2" t="s">
        <v>160</v>
      </c>
      <c r="D202" s="3">
        <v>44311</v>
      </c>
      <c r="E202" s="7">
        <v>164</v>
      </c>
      <c r="F202" s="2" t="s">
        <v>5</v>
      </c>
      <c r="G202" s="1">
        <v>31</v>
      </c>
      <c r="H202" s="6">
        <v>133</v>
      </c>
      <c r="I202" s="1">
        <v>10</v>
      </c>
      <c r="J202" s="116" t="str">
        <f t="shared" si="3"/>
        <v>주말</v>
      </c>
    </row>
    <row r="203" spans="1:10" ht="21.75" hidden="1" customHeight="1" x14ac:dyDescent="0.25">
      <c r="A203" s="2">
        <v>2021</v>
      </c>
      <c r="B203" s="2">
        <v>4</v>
      </c>
      <c r="C203" s="2" t="s">
        <v>161</v>
      </c>
      <c r="D203" s="3">
        <v>44312</v>
      </c>
      <c r="E203" s="7">
        <v>106</v>
      </c>
      <c r="F203" s="2" t="s">
        <v>5</v>
      </c>
      <c r="G203" s="1">
        <v>21</v>
      </c>
      <c r="H203" s="6">
        <v>85</v>
      </c>
      <c r="I203" s="1">
        <v>11</v>
      </c>
      <c r="J203" s="116" t="str">
        <f t="shared" si="3"/>
        <v>평일</v>
      </c>
    </row>
    <row r="204" spans="1:10" ht="21.75" hidden="1" customHeight="1" x14ac:dyDescent="0.25">
      <c r="A204" s="2">
        <v>2021</v>
      </c>
      <c r="B204" s="2">
        <v>4</v>
      </c>
      <c r="C204" s="2" t="s">
        <v>162</v>
      </c>
      <c r="D204" s="3">
        <v>44313</v>
      </c>
      <c r="E204" s="7">
        <v>54</v>
      </c>
      <c r="F204" s="2" t="s">
        <v>5</v>
      </c>
      <c r="G204" s="1">
        <v>6</v>
      </c>
      <c r="H204" s="6">
        <v>48</v>
      </c>
      <c r="I204" s="1">
        <v>12</v>
      </c>
      <c r="J204" s="116" t="str">
        <f t="shared" si="3"/>
        <v>평일</v>
      </c>
    </row>
    <row r="205" spans="1:10" ht="21.75" hidden="1" customHeight="1" x14ac:dyDescent="0.25">
      <c r="A205" s="2">
        <v>2021</v>
      </c>
      <c r="B205" s="2">
        <v>4</v>
      </c>
      <c r="C205" s="2" t="s">
        <v>163</v>
      </c>
      <c r="D205" s="3">
        <v>44314</v>
      </c>
      <c r="E205" s="7">
        <v>90</v>
      </c>
      <c r="F205" s="2" t="s">
        <v>5</v>
      </c>
      <c r="G205" s="1">
        <v>6</v>
      </c>
      <c r="H205" s="6">
        <v>84</v>
      </c>
      <c r="I205" s="1">
        <v>13</v>
      </c>
      <c r="J205" s="116" t="str">
        <f t="shared" si="3"/>
        <v>평일</v>
      </c>
    </row>
    <row r="206" spans="1:10" ht="21.75" hidden="1" customHeight="1" x14ac:dyDescent="0.25">
      <c r="A206" s="2">
        <v>2021</v>
      </c>
      <c r="B206" s="2">
        <v>4</v>
      </c>
      <c r="C206" s="2" t="s">
        <v>157</v>
      </c>
      <c r="D206" s="3">
        <v>44315</v>
      </c>
      <c r="E206" s="7">
        <v>104</v>
      </c>
      <c r="F206" s="2" t="s">
        <v>5</v>
      </c>
      <c r="G206" s="1">
        <v>17</v>
      </c>
      <c r="H206" s="6">
        <v>87</v>
      </c>
      <c r="I206" s="1">
        <v>14</v>
      </c>
      <c r="J206" s="116" t="str">
        <f t="shared" si="3"/>
        <v>평일</v>
      </c>
    </row>
    <row r="207" spans="1:10" ht="21.75" hidden="1" customHeight="1" x14ac:dyDescent="0.25">
      <c r="A207" s="2">
        <v>2021</v>
      </c>
      <c r="B207" s="2">
        <v>4</v>
      </c>
      <c r="C207" s="2" t="s">
        <v>158</v>
      </c>
      <c r="D207" s="3">
        <v>44316</v>
      </c>
      <c r="E207" s="7">
        <v>99</v>
      </c>
      <c r="F207" s="2" t="s">
        <v>5</v>
      </c>
      <c r="G207" s="1">
        <v>16</v>
      </c>
      <c r="H207" s="6">
        <v>83</v>
      </c>
      <c r="I207" s="1">
        <v>15</v>
      </c>
      <c r="J207" s="116" t="str">
        <f t="shared" si="3"/>
        <v>평일</v>
      </c>
    </row>
    <row r="208" spans="1:10" ht="21.75" hidden="1" customHeight="1" x14ac:dyDescent="0.25">
      <c r="A208" s="2">
        <v>2021</v>
      </c>
      <c r="B208" s="2">
        <v>5</v>
      </c>
      <c r="C208" s="2" t="s">
        <v>159</v>
      </c>
      <c r="D208" s="3">
        <v>44317</v>
      </c>
      <c r="E208" s="7">
        <v>281</v>
      </c>
      <c r="F208" s="2" t="s">
        <v>5</v>
      </c>
      <c r="G208" s="1">
        <v>33</v>
      </c>
      <c r="H208" s="6">
        <v>248</v>
      </c>
      <c r="I208" s="1">
        <v>16</v>
      </c>
      <c r="J208" s="116" t="str">
        <f t="shared" si="3"/>
        <v>주말</v>
      </c>
    </row>
    <row r="209" spans="1:10" ht="21.75" hidden="1" customHeight="1" x14ac:dyDescent="0.25">
      <c r="A209" s="2">
        <v>2021</v>
      </c>
      <c r="B209" s="2">
        <v>5</v>
      </c>
      <c r="C209" s="2" t="s">
        <v>160</v>
      </c>
      <c r="D209" s="3">
        <v>44318</v>
      </c>
      <c r="E209" s="7">
        <v>236</v>
      </c>
      <c r="F209" s="2" t="s">
        <v>5</v>
      </c>
      <c r="G209" s="1">
        <v>19</v>
      </c>
      <c r="H209" s="6">
        <v>217</v>
      </c>
      <c r="I209" s="1">
        <v>17</v>
      </c>
      <c r="J209" s="116" t="str">
        <f t="shared" si="3"/>
        <v>주말</v>
      </c>
    </row>
    <row r="210" spans="1:10" ht="21.75" hidden="1" customHeight="1" x14ac:dyDescent="0.25">
      <c r="A210" s="2">
        <v>2021</v>
      </c>
      <c r="B210" s="2">
        <v>5</v>
      </c>
      <c r="C210" s="2" t="s">
        <v>161</v>
      </c>
      <c r="D210" s="3">
        <v>44319</v>
      </c>
      <c r="E210" s="7">
        <v>105</v>
      </c>
      <c r="F210" s="2" t="s">
        <v>5</v>
      </c>
      <c r="G210" s="1">
        <v>14</v>
      </c>
      <c r="H210" s="6">
        <v>91</v>
      </c>
      <c r="I210" s="1">
        <v>18</v>
      </c>
      <c r="J210" s="116" t="str">
        <f t="shared" si="3"/>
        <v>평일</v>
      </c>
    </row>
    <row r="211" spans="1:10" ht="21.75" hidden="1" customHeight="1" x14ac:dyDescent="0.25">
      <c r="A211" s="2">
        <v>2021</v>
      </c>
      <c r="B211" s="2">
        <v>5</v>
      </c>
      <c r="C211" s="2" t="s">
        <v>162</v>
      </c>
      <c r="D211" s="3">
        <v>44320</v>
      </c>
      <c r="E211" s="7">
        <v>93</v>
      </c>
      <c r="F211" s="2" t="s">
        <v>5</v>
      </c>
      <c r="G211" s="1">
        <v>32</v>
      </c>
      <c r="H211" s="6">
        <v>61</v>
      </c>
      <c r="I211" s="1">
        <v>19</v>
      </c>
      <c r="J211" s="116" t="str">
        <f t="shared" si="3"/>
        <v>평일</v>
      </c>
    </row>
    <row r="212" spans="1:10" ht="21.75" hidden="1" customHeight="1" x14ac:dyDescent="0.25">
      <c r="A212" s="2">
        <v>2021</v>
      </c>
      <c r="B212" s="2">
        <v>5</v>
      </c>
      <c r="C212" s="2" t="s">
        <v>163</v>
      </c>
      <c r="D212" s="3">
        <v>44321</v>
      </c>
      <c r="E212" s="7">
        <v>217</v>
      </c>
      <c r="F212" s="2" t="s">
        <v>5</v>
      </c>
      <c r="G212" s="1">
        <v>37</v>
      </c>
      <c r="H212" s="6">
        <v>180</v>
      </c>
      <c r="I212" s="1">
        <v>20</v>
      </c>
      <c r="J212" s="116" t="str">
        <f t="shared" si="3"/>
        <v>평일</v>
      </c>
    </row>
    <row r="213" spans="1:10" ht="21.75" hidden="1" customHeight="1" x14ac:dyDescent="0.25">
      <c r="A213" s="2">
        <v>2021</v>
      </c>
      <c r="B213" s="2">
        <v>5</v>
      </c>
      <c r="C213" s="2" t="s">
        <v>157</v>
      </c>
      <c r="D213" s="3">
        <v>44322</v>
      </c>
      <c r="E213" s="7">
        <v>121</v>
      </c>
      <c r="F213" s="2" t="s">
        <v>5</v>
      </c>
      <c r="G213" s="1">
        <v>24</v>
      </c>
      <c r="H213" s="6">
        <v>97</v>
      </c>
      <c r="I213" s="1">
        <v>21</v>
      </c>
      <c r="J213" s="116" t="str">
        <f t="shared" si="3"/>
        <v>평일</v>
      </c>
    </row>
    <row r="214" spans="1:10" ht="21.75" hidden="1" customHeight="1" x14ac:dyDescent="0.25">
      <c r="A214" s="2">
        <v>2021</v>
      </c>
      <c r="B214" s="2">
        <v>5</v>
      </c>
      <c r="C214" s="2" t="s">
        <v>158</v>
      </c>
      <c r="D214" s="3">
        <v>44323</v>
      </c>
      <c r="E214" s="7">
        <v>76</v>
      </c>
      <c r="F214" s="2" t="s">
        <v>5</v>
      </c>
      <c r="G214" s="1">
        <v>8</v>
      </c>
      <c r="H214" s="6">
        <v>68</v>
      </c>
      <c r="I214" s="1">
        <v>22</v>
      </c>
      <c r="J214" s="116" t="str">
        <f t="shared" si="3"/>
        <v>평일</v>
      </c>
    </row>
    <row r="215" spans="1:10" ht="21.75" hidden="1" customHeight="1" x14ac:dyDescent="0.25">
      <c r="A215" s="2">
        <v>2021</v>
      </c>
      <c r="B215" s="2">
        <v>5</v>
      </c>
      <c r="C215" s="2" t="s">
        <v>159</v>
      </c>
      <c r="D215" s="3">
        <v>44324</v>
      </c>
      <c r="E215" s="7">
        <v>283</v>
      </c>
      <c r="F215" s="2" t="s">
        <v>5</v>
      </c>
      <c r="G215" s="1">
        <v>39</v>
      </c>
      <c r="H215" s="6">
        <v>244</v>
      </c>
      <c r="I215" s="1">
        <v>23</v>
      </c>
      <c r="J215" s="116" t="str">
        <f t="shared" si="3"/>
        <v>주말</v>
      </c>
    </row>
    <row r="216" spans="1:10" ht="21.75" hidden="1" customHeight="1" x14ac:dyDescent="0.25">
      <c r="A216" s="2">
        <v>2021</v>
      </c>
      <c r="B216" s="2">
        <v>5</v>
      </c>
      <c r="C216" s="2" t="s">
        <v>160</v>
      </c>
      <c r="D216" s="3">
        <v>44325</v>
      </c>
      <c r="E216" s="7">
        <v>229</v>
      </c>
      <c r="F216" s="2" t="s">
        <v>5</v>
      </c>
      <c r="G216" s="1">
        <v>9</v>
      </c>
      <c r="H216" s="6">
        <v>220</v>
      </c>
      <c r="I216" s="1">
        <v>24</v>
      </c>
      <c r="J216" s="116" t="str">
        <f t="shared" si="3"/>
        <v>주말</v>
      </c>
    </row>
    <row r="217" spans="1:10" ht="21.75" hidden="1" customHeight="1" x14ac:dyDescent="0.25">
      <c r="A217" s="2">
        <v>2021</v>
      </c>
      <c r="B217" s="2">
        <v>5</v>
      </c>
      <c r="C217" s="2" t="s">
        <v>161</v>
      </c>
      <c r="D217" s="3">
        <v>44326</v>
      </c>
      <c r="E217" s="7">
        <v>80</v>
      </c>
      <c r="F217" s="2" t="s">
        <v>5</v>
      </c>
      <c r="G217" s="1">
        <v>11</v>
      </c>
      <c r="H217" s="6">
        <v>69</v>
      </c>
      <c r="I217" s="1">
        <v>25</v>
      </c>
      <c r="J217" s="116" t="str">
        <f t="shared" si="3"/>
        <v>평일</v>
      </c>
    </row>
    <row r="218" spans="1:10" ht="21.75" hidden="1" customHeight="1" x14ac:dyDescent="0.25">
      <c r="A218" s="2">
        <v>2021</v>
      </c>
      <c r="B218" s="2">
        <v>5</v>
      </c>
      <c r="C218" s="2" t="s">
        <v>162</v>
      </c>
      <c r="D218" s="3">
        <v>44327</v>
      </c>
      <c r="E218" s="7">
        <v>56</v>
      </c>
      <c r="F218" s="2" t="s">
        <v>5</v>
      </c>
      <c r="G218" s="1">
        <v>12</v>
      </c>
      <c r="H218" s="6">
        <v>44</v>
      </c>
      <c r="I218" s="1">
        <v>26</v>
      </c>
      <c r="J218" s="116" t="str">
        <f t="shared" si="3"/>
        <v>평일</v>
      </c>
    </row>
    <row r="219" spans="1:10" ht="21.75" hidden="1" customHeight="1" x14ac:dyDescent="0.25">
      <c r="A219" s="2">
        <v>2021</v>
      </c>
      <c r="B219" s="2">
        <v>5</v>
      </c>
      <c r="C219" s="2" t="s">
        <v>163</v>
      </c>
      <c r="D219" s="3">
        <v>44328</v>
      </c>
      <c r="E219" s="7">
        <v>55</v>
      </c>
      <c r="F219" s="2" t="s">
        <v>5</v>
      </c>
      <c r="G219" s="1">
        <v>14</v>
      </c>
      <c r="H219" s="6">
        <v>41</v>
      </c>
      <c r="I219" s="1">
        <v>27</v>
      </c>
      <c r="J219" s="116" t="str">
        <f t="shared" si="3"/>
        <v>평일</v>
      </c>
    </row>
    <row r="220" spans="1:10" ht="21.75" hidden="1" customHeight="1" x14ac:dyDescent="0.25">
      <c r="A220" s="2">
        <v>2021</v>
      </c>
      <c r="B220" s="2">
        <v>5</v>
      </c>
      <c r="C220" s="2" t="s">
        <v>157</v>
      </c>
      <c r="D220" s="3">
        <v>44329</v>
      </c>
      <c r="E220" s="7">
        <v>61</v>
      </c>
      <c r="F220" s="2" t="s">
        <v>5</v>
      </c>
      <c r="G220" s="1">
        <v>20</v>
      </c>
      <c r="H220" s="6">
        <v>41</v>
      </c>
      <c r="I220" s="1">
        <v>28</v>
      </c>
      <c r="J220" s="116" t="str">
        <f t="shared" si="3"/>
        <v>평일</v>
      </c>
    </row>
    <row r="221" spans="1:10" ht="21.75" hidden="1" customHeight="1" x14ac:dyDescent="0.25">
      <c r="A221" s="2">
        <v>2021</v>
      </c>
      <c r="B221" s="2">
        <v>5</v>
      </c>
      <c r="C221" s="2" t="s">
        <v>158</v>
      </c>
      <c r="D221" s="3">
        <v>44330</v>
      </c>
      <c r="E221" s="7">
        <v>86</v>
      </c>
      <c r="F221" s="2" t="s">
        <v>5</v>
      </c>
      <c r="G221" s="1">
        <v>24</v>
      </c>
      <c r="H221" s="6">
        <v>62</v>
      </c>
      <c r="I221" s="1">
        <v>29</v>
      </c>
      <c r="J221" s="116" t="str">
        <f t="shared" si="3"/>
        <v>평일</v>
      </c>
    </row>
    <row r="222" spans="1:10" ht="21.75" hidden="1" customHeight="1" x14ac:dyDescent="0.25">
      <c r="A222" s="2">
        <v>2021</v>
      </c>
      <c r="B222" s="2">
        <v>5</v>
      </c>
      <c r="C222" s="2" t="s">
        <v>159</v>
      </c>
      <c r="D222" s="3">
        <v>44331</v>
      </c>
      <c r="E222" s="7">
        <v>283</v>
      </c>
      <c r="F222" s="2" t="s">
        <v>5</v>
      </c>
      <c r="G222" s="1">
        <v>28</v>
      </c>
      <c r="H222" s="6">
        <v>255</v>
      </c>
      <c r="I222" s="1">
        <v>30</v>
      </c>
      <c r="J222" s="116" t="str">
        <f t="shared" si="3"/>
        <v>주말</v>
      </c>
    </row>
    <row r="223" spans="1:10" ht="21.75" hidden="1" customHeight="1" x14ac:dyDescent="0.25">
      <c r="A223" s="2">
        <v>2021</v>
      </c>
      <c r="B223" s="2">
        <v>5</v>
      </c>
      <c r="C223" s="2" t="s">
        <v>160</v>
      </c>
      <c r="D223" s="3">
        <v>44332</v>
      </c>
      <c r="E223" s="7">
        <v>281</v>
      </c>
      <c r="F223" s="2" t="s">
        <v>5</v>
      </c>
      <c r="G223" s="1">
        <v>47</v>
      </c>
      <c r="H223" s="6">
        <v>234</v>
      </c>
      <c r="I223" s="1">
        <v>31</v>
      </c>
      <c r="J223" s="116" t="str">
        <f t="shared" si="3"/>
        <v>주말</v>
      </c>
    </row>
    <row r="224" spans="1:10" ht="21.75" hidden="1" customHeight="1" x14ac:dyDescent="0.25">
      <c r="A224" s="2">
        <v>2021</v>
      </c>
      <c r="B224" s="2">
        <v>5</v>
      </c>
      <c r="C224" s="2" t="s">
        <v>161</v>
      </c>
      <c r="D224" s="3">
        <v>44333</v>
      </c>
      <c r="E224" s="7">
        <v>60</v>
      </c>
      <c r="F224" s="2" t="s">
        <v>5</v>
      </c>
      <c r="G224" s="1">
        <v>4</v>
      </c>
      <c r="H224" s="6">
        <v>56</v>
      </c>
      <c r="I224" s="1">
        <v>32</v>
      </c>
      <c r="J224" s="116" t="str">
        <f t="shared" si="3"/>
        <v>평일</v>
      </c>
    </row>
    <row r="225" spans="1:10" ht="21.75" hidden="1" customHeight="1" x14ac:dyDescent="0.25">
      <c r="A225" s="2">
        <v>2021</v>
      </c>
      <c r="B225" s="2">
        <v>5</v>
      </c>
      <c r="C225" s="2" t="s">
        <v>162</v>
      </c>
      <c r="D225" s="3">
        <v>44334</v>
      </c>
      <c r="E225" s="7">
        <v>83</v>
      </c>
      <c r="F225" s="2" t="s">
        <v>5</v>
      </c>
      <c r="G225" s="1">
        <v>18</v>
      </c>
      <c r="H225" s="6">
        <v>65</v>
      </c>
      <c r="I225" s="1">
        <v>33</v>
      </c>
      <c r="J225" s="116" t="str">
        <f t="shared" si="3"/>
        <v>평일</v>
      </c>
    </row>
    <row r="226" spans="1:10" ht="21.75" hidden="1" customHeight="1" x14ac:dyDescent="0.25">
      <c r="A226" s="2">
        <v>2021</v>
      </c>
      <c r="B226" s="2">
        <v>5</v>
      </c>
      <c r="C226" s="2" t="s">
        <v>163</v>
      </c>
      <c r="D226" s="3">
        <v>44335</v>
      </c>
      <c r="E226" s="7">
        <v>248</v>
      </c>
      <c r="F226" s="2" t="s">
        <v>5</v>
      </c>
      <c r="G226" s="1">
        <v>55</v>
      </c>
      <c r="H226" s="6">
        <v>193</v>
      </c>
      <c r="I226" s="1">
        <v>34</v>
      </c>
      <c r="J226" s="116" t="str">
        <f t="shared" si="3"/>
        <v>평일</v>
      </c>
    </row>
    <row r="227" spans="1:10" ht="21.75" hidden="1" customHeight="1" x14ac:dyDescent="0.25">
      <c r="A227" s="2">
        <v>2021</v>
      </c>
      <c r="B227" s="2">
        <v>5</v>
      </c>
      <c r="C227" s="2" t="s">
        <v>157</v>
      </c>
      <c r="D227" s="3">
        <v>44336</v>
      </c>
      <c r="E227" s="7">
        <v>65</v>
      </c>
      <c r="F227" s="2" t="s">
        <v>5</v>
      </c>
      <c r="G227" s="1">
        <v>8</v>
      </c>
      <c r="H227" s="6">
        <v>57</v>
      </c>
      <c r="I227" s="1">
        <v>35</v>
      </c>
      <c r="J227" s="116" t="str">
        <f t="shared" si="3"/>
        <v>평일</v>
      </c>
    </row>
    <row r="228" spans="1:10" ht="21.75" hidden="1" customHeight="1" x14ac:dyDescent="0.25">
      <c r="A228" s="2">
        <v>2021</v>
      </c>
      <c r="B228" s="2">
        <v>5</v>
      </c>
      <c r="C228" s="2" t="s">
        <v>158</v>
      </c>
      <c r="D228" s="3">
        <v>44337</v>
      </c>
      <c r="E228" s="7">
        <v>192</v>
      </c>
      <c r="F228" s="2" t="s">
        <v>5</v>
      </c>
      <c r="G228" s="1">
        <v>45</v>
      </c>
      <c r="H228" s="6">
        <v>147</v>
      </c>
      <c r="I228" s="1">
        <v>36</v>
      </c>
      <c r="J228" s="116" t="str">
        <f t="shared" si="3"/>
        <v>평일</v>
      </c>
    </row>
    <row r="229" spans="1:10" ht="21.75" hidden="1" customHeight="1" x14ac:dyDescent="0.25">
      <c r="A229" s="2">
        <v>2021</v>
      </c>
      <c r="B229" s="2">
        <v>5</v>
      </c>
      <c r="C229" s="2" t="s">
        <v>159</v>
      </c>
      <c r="D229" s="3">
        <v>44338</v>
      </c>
      <c r="E229" s="7">
        <v>354</v>
      </c>
      <c r="F229" s="2" t="s">
        <v>5</v>
      </c>
      <c r="G229" s="1">
        <v>66</v>
      </c>
      <c r="H229" s="6">
        <v>288</v>
      </c>
      <c r="I229" s="1">
        <v>37</v>
      </c>
      <c r="J229" s="116" t="str">
        <f t="shared" si="3"/>
        <v>주말</v>
      </c>
    </row>
    <row r="230" spans="1:10" ht="21.75" hidden="1" customHeight="1" x14ac:dyDescent="0.25">
      <c r="A230" s="2">
        <v>2021</v>
      </c>
      <c r="B230" s="2">
        <v>5</v>
      </c>
      <c r="C230" s="2" t="s">
        <v>160</v>
      </c>
      <c r="D230" s="3">
        <v>44339</v>
      </c>
      <c r="E230" s="7">
        <v>224</v>
      </c>
      <c r="F230" s="2" t="s">
        <v>5</v>
      </c>
      <c r="G230" s="1">
        <v>32</v>
      </c>
      <c r="H230" s="6">
        <v>192</v>
      </c>
      <c r="I230" s="1">
        <v>38</v>
      </c>
      <c r="J230" s="116" t="str">
        <f t="shared" si="3"/>
        <v>주말</v>
      </c>
    </row>
    <row r="231" spans="1:10" ht="21.75" hidden="1" customHeight="1" x14ac:dyDescent="0.25">
      <c r="A231" s="2">
        <v>2021</v>
      </c>
      <c r="B231" s="2">
        <v>5</v>
      </c>
      <c r="C231" s="2" t="s">
        <v>161</v>
      </c>
      <c r="D231" s="3">
        <v>44340</v>
      </c>
      <c r="E231" s="7">
        <v>0</v>
      </c>
      <c r="F231" s="2" t="s">
        <v>5</v>
      </c>
      <c r="G231" s="1">
        <v>0</v>
      </c>
      <c r="H231" s="6">
        <v>0</v>
      </c>
      <c r="I231" s="1">
        <v>39</v>
      </c>
      <c r="J231" s="116" t="str">
        <f t="shared" si="3"/>
        <v>평일</v>
      </c>
    </row>
    <row r="232" spans="1:10" ht="21.75" hidden="1" customHeight="1" x14ac:dyDescent="0.25">
      <c r="A232" s="2">
        <v>2021</v>
      </c>
      <c r="B232" s="2">
        <v>5</v>
      </c>
      <c r="C232" s="2" t="s">
        <v>162</v>
      </c>
      <c r="D232" s="3">
        <v>44341</v>
      </c>
      <c r="E232" s="7">
        <v>99</v>
      </c>
      <c r="F232" s="2" t="s">
        <v>5</v>
      </c>
      <c r="G232" s="1">
        <v>10</v>
      </c>
      <c r="H232" s="6">
        <v>89</v>
      </c>
      <c r="I232" s="1">
        <v>40</v>
      </c>
      <c r="J232" s="116" t="str">
        <f t="shared" si="3"/>
        <v>평일</v>
      </c>
    </row>
    <row r="233" spans="1:10" ht="21.75" hidden="1" customHeight="1" x14ac:dyDescent="0.25">
      <c r="A233" s="2">
        <v>2021</v>
      </c>
      <c r="B233" s="2">
        <v>5</v>
      </c>
      <c r="C233" s="2" t="s">
        <v>163</v>
      </c>
      <c r="D233" s="3">
        <v>44342</v>
      </c>
      <c r="E233" s="7">
        <v>105</v>
      </c>
      <c r="F233" s="2" t="s">
        <v>5</v>
      </c>
      <c r="G233" s="1">
        <v>6</v>
      </c>
      <c r="H233" s="6">
        <v>99</v>
      </c>
      <c r="I233" s="1">
        <v>41</v>
      </c>
      <c r="J233" s="116" t="str">
        <f t="shared" si="3"/>
        <v>평일</v>
      </c>
    </row>
    <row r="234" spans="1:10" ht="21.75" hidden="1" customHeight="1" x14ac:dyDescent="0.25">
      <c r="A234" s="2">
        <v>2021</v>
      </c>
      <c r="B234" s="2">
        <v>5</v>
      </c>
      <c r="C234" s="2" t="s">
        <v>157</v>
      </c>
      <c r="D234" s="3">
        <v>44343</v>
      </c>
      <c r="E234" s="7">
        <v>51</v>
      </c>
      <c r="F234" s="2" t="s">
        <v>5</v>
      </c>
      <c r="G234" s="1">
        <v>15</v>
      </c>
      <c r="H234" s="6">
        <v>36</v>
      </c>
      <c r="I234" s="1">
        <v>42</v>
      </c>
      <c r="J234" s="116" t="str">
        <f t="shared" si="3"/>
        <v>평일</v>
      </c>
    </row>
    <row r="235" spans="1:10" ht="21.75" hidden="1" customHeight="1" x14ac:dyDescent="0.25">
      <c r="A235" s="2">
        <v>2021</v>
      </c>
      <c r="B235" s="2">
        <v>5</v>
      </c>
      <c r="C235" s="2" t="s">
        <v>158</v>
      </c>
      <c r="D235" s="3">
        <v>44344</v>
      </c>
      <c r="E235" s="7">
        <v>76</v>
      </c>
      <c r="F235" s="2" t="s">
        <v>5</v>
      </c>
      <c r="G235" s="1">
        <v>34</v>
      </c>
      <c r="H235" s="6">
        <v>42</v>
      </c>
      <c r="I235" s="1">
        <v>43</v>
      </c>
      <c r="J235" s="116" t="str">
        <f t="shared" si="3"/>
        <v>평일</v>
      </c>
    </row>
    <row r="236" spans="1:10" ht="21.75" hidden="1" customHeight="1" x14ac:dyDescent="0.25">
      <c r="A236" s="2">
        <v>2021</v>
      </c>
      <c r="B236" s="2">
        <v>5</v>
      </c>
      <c r="C236" s="2" t="s">
        <v>159</v>
      </c>
      <c r="D236" s="3">
        <v>44345</v>
      </c>
      <c r="E236" s="7">
        <v>251</v>
      </c>
      <c r="F236" s="2" t="s">
        <v>5</v>
      </c>
      <c r="G236" s="1">
        <v>68</v>
      </c>
      <c r="H236" s="6">
        <v>183</v>
      </c>
      <c r="I236" s="1">
        <v>44</v>
      </c>
      <c r="J236" s="116" t="str">
        <f t="shared" si="3"/>
        <v>주말</v>
      </c>
    </row>
    <row r="237" spans="1:10" ht="21.75" hidden="1" customHeight="1" x14ac:dyDescent="0.25">
      <c r="A237" s="2">
        <v>2021</v>
      </c>
      <c r="B237" s="2">
        <v>5</v>
      </c>
      <c r="C237" s="2" t="s">
        <v>160</v>
      </c>
      <c r="D237" s="3">
        <v>44346</v>
      </c>
      <c r="E237" s="7">
        <v>158</v>
      </c>
      <c r="F237" s="2" t="s">
        <v>5</v>
      </c>
      <c r="G237" s="1">
        <v>43</v>
      </c>
      <c r="H237" s="6">
        <v>115</v>
      </c>
      <c r="I237" s="1">
        <v>45</v>
      </c>
      <c r="J237" s="116" t="str">
        <f t="shared" si="3"/>
        <v>주말</v>
      </c>
    </row>
    <row r="238" spans="1:10" ht="21.75" hidden="1" customHeight="1" x14ac:dyDescent="0.25">
      <c r="A238" s="2">
        <v>2021</v>
      </c>
      <c r="B238" s="2">
        <v>5</v>
      </c>
      <c r="C238" s="2" t="s">
        <v>161</v>
      </c>
      <c r="D238" s="3">
        <v>44347</v>
      </c>
      <c r="E238" s="7">
        <v>51</v>
      </c>
      <c r="F238" s="2" t="s">
        <v>5</v>
      </c>
      <c r="G238" s="1">
        <v>10</v>
      </c>
      <c r="H238" s="6">
        <v>41</v>
      </c>
      <c r="I238" s="1">
        <v>46</v>
      </c>
      <c r="J238" s="116" t="str">
        <f t="shared" si="3"/>
        <v>평일</v>
      </c>
    </row>
    <row r="239" spans="1:10" ht="21.75" hidden="1" customHeight="1" x14ac:dyDescent="0.25">
      <c r="A239" s="2">
        <v>2021</v>
      </c>
      <c r="B239" s="2">
        <v>6</v>
      </c>
      <c r="C239" s="2" t="s">
        <v>162</v>
      </c>
      <c r="D239" s="3">
        <v>44348</v>
      </c>
      <c r="E239" s="7">
        <v>32</v>
      </c>
      <c r="F239" s="2" t="s">
        <v>5</v>
      </c>
      <c r="G239" s="1">
        <v>10</v>
      </c>
      <c r="H239" s="6">
        <v>22</v>
      </c>
      <c r="I239" s="1">
        <v>47</v>
      </c>
      <c r="J239" s="116" t="str">
        <f t="shared" si="3"/>
        <v>평일</v>
      </c>
    </row>
    <row r="240" spans="1:10" ht="21.75" hidden="1" customHeight="1" x14ac:dyDescent="0.25">
      <c r="A240" s="2">
        <v>2021</v>
      </c>
      <c r="B240" s="2">
        <v>6</v>
      </c>
      <c r="C240" s="2" t="s">
        <v>163</v>
      </c>
      <c r="D240" s="3">
        <v>44349</v>
      </c>
      <c r="E240" s="7">
        <v>36</v>
      </c>
      <c r="F240" s="2" t="s">
        <v>5</v>
      </c>
      <c r="G240" s="1">
        <v>14</v>
      </c>
      <c r="H240" s="6">
        <v>22</v>
      </c>
      <c r="I240" s="1">
        <v>48</v>
      </c>
      <c r="J240" s="116" t="str">
        <f t="shared" si="3"/>
        <v>평일</v>
      </c>
    </row>
    <row r="241" spans="1:10" ht="21.75" hidden="1" customHeight="1" x14ac:dyDescent="0.25">
      <c r="A241" s="2">
        <v>2021</v>
      </c>
      <c r="B241" s="2">
        <v>6</v>
      </c>
      <c r="C241" s="2" t="s">
        <v>157</v>
      </c>
      <c r="D241" s="3">
        <v>44350</v>
      </c>
      <c r="E241" s="7">
        <v>57</v>
      </c>
      <c r="F241" s="2" t="s">
        <v>5</v>
      </c>
      <c r="G241" s="1">
        <v>11</v>
      </c>
      <c r="H241" s="6">
        <v>46</v>
      </c>
      <c r="I241" s="1">
        <v>49</v>
      </c>
      <c r="J241" s="116" t="str">
        <f t="shared" si="3"/>
        <v>평일</v>
      </c>
    </row>
    <row r="242" spans="1:10" ht="21.75" hidden="1" customHeight="1" x14ac:dyDescent="0.25">
      <c r="A242" s="2">
        <v>2021</v>
      </c>
      <c r="B242" s="2">
        <v>6</v>
      </c>
      <c r="C242" s="2" t="s">
        <v>158</v>
      </c>
      <c r="D242" s="3">
        <v>44351</v>
      </c>
      <c r="E242" s="7">
        <v>68</v>
      </c>
      <c r="F242" s="2" t="s">
        <v>5</v>
      </c>
      <c r="G242" s="1">
        <v>25</v>
      </c>
      <c r="H242" s="6">
        <v>43</v>
      </c>
      <c r="I242" s="1">
        <v>50</v>
      </c>
      <c r="J242" s="116" t="str">
        <f t="shared" si="3"/>
        <v>평일</v>
      </c>
    </row>
    <row r="243" spans="1:10" ht="21.75" hidden="1" customHeight="1" x14ac:dyDescent="0.25">
      <c r="A243" s="2">
        <v>2021</v>
      </c>
      <c r="B243" s="2">
        <v>6</v>
      </c>
      <c r="C243" s="2" t="s">
        <v>159</v>
      </c>
      <c r="D243" s="3">
        <v>44352</v>
      </c>
      <c r="E243" s="7">
        <v>245</v>
      </c>
      <c r="F243" s="2" t="s">
        <v>5</v>
      </c>
      <c r="G243" s="1">
        <v>61</v>
      </c>
      <c r="H243" s="6">
        <v>184</v>
      </c>
      <c r="I243" s="1">
        <v>51</v>
      </c>
      <c r="J243" s="116" t="str">
        <f t="shared" si="3"/>
        <v>주말</v>
      </c>
    </row>
    <row r="244" spans="1:10" ht="21.75" hidden="1" customHeight="1" x14ac:dyDescent="0.25">
      <c r="A244" s="2">
        <v>2021</v>
      </c>
      <c r="B244" s="2">
        <v>6</v>
      </c>
      <c r="C244" s="2" t="s">
        <v>160</v>
      </c>
      <c r="D244" s="3">
        <v>44353</v>
      </c>
      <c r="E244" s="7">
        <v>158</v>
      </c>
      <c r="F244" s="2" t="s">
        <v>5</v>
      </c>
      <c r="G244" s="1">
        <v>32</v>
      </c>
      <c r="H244" s="6">
        <v>126</v>
      </c>
      <c r="I244" s="1">
        <v>52</v>
      </c>
      <c r="J244" s="116" t="str">
        <f t="shared" si="3"/>
        <v>주말</v>
      </c>
    </row>
    <row r="245" spans="1:10" ht="21.75" hidden="1" customHeight="1" x14ac:dyDescent="0.25">
      <c r="A245" s="2">
        <v>2021</v>
      </c>
      <c r="B245" s="2">
        <v>6</v>
      </c>
      <c r="C245" s="2" t="s">
        <v>161</v>
      </c>
      <c r="D245" s="3">
        <v>44354</v>
      </c>
      <c r="E245" s="7">
        <v>64</v>
      </c>
      <c r="F245" s="2" t="s">
        <v>5</v>
      </c>
      <c r="G245" s="1">
        <v>6</v>
      </c>
      <c r="H245" s="6">
        <v>58</v>
      </c>
      <c r="I245" s="1">
        <v>53</v>
      </c>
      <c r="J245" s="116" t="str">
        <f t="shared" si="3"/>
        <v>평일</v>
      </c>
    </row>
    <row r="246" spans="1:10" ht="21.75" hidden="1" customHeight="1" x14ac:dyDescent="0.25">
      <c r="A246" s="2">
        <v>2021</v>
      </c>
      <c r="B246" s="2">
        <v>6</v>
      </c>
      <c r="C246" s="2" t="s">
        <v>162</v>
      </c>
      <c r="D246" s="3">
        <v>44355</v>
      </c>
      <c r="E246" s="7">
        <v>89</v>
      </c>
      <c r="F246" s="2" t="s">
        <v>5</v>
      </c>
      <c r="G246" s="1">
        <v>23</v>
      </c>
      <c r="H246" s="6">
        <v>66</v>
      </c>
      <c r="I246" s="1">
        <v>54</v>
      </c>
      <c r="J246" s="116" t="str">
        <f t="shared" si="3"/>
        <v>평일</v>
      </c>
    </row>
    <row r="247" spans="1:10" ht="21.75" hidden="1" customHeight="1" x14ac:dyDescent="0.25">
      <c r="A247" s="2">
        <v>2021</v>
      </c>
      <c r="B247" s="2">
        <v>6</v>
      </c>
      <c r="C247" s="2" t="s">
        <v>163</v>
      </c>
      <c r="D247" s="3">
        <v>44356</v>
      </c>
      <c r="E247" s="7">
        <v>77</v>
      </c>
      <c r="F247" s="2" t="s">
        <v>5</v>
      </c>
      <c r="G247" s="1">
        <v>8</v>
      </c>
      <c r="H247" s="6">
        <v>69</v>
      </c>
      <c r="I247" s="1">
        <v>55</v>
      </c>
      <c r="J247" s="116" t="str">
        <f t="shared" si="3"/>
        <v>평일</v>
      </c>
    </row>
    <row r="248" spans="1:10" ht="21.75" hidden="1" customHeight="1" x14ac:dyDescent="0.25">
      <c r="A248" s="2">
        <v>2021</v>
      </c>
      <c r="B248" s="2">
        <v>6</v>
      </c>
      <c r="C248" s="2" t="s">
        <v>157</v>
      </c>
      <c r="D248" s="3">
        <v>44357</v>
      </c>
      <c r="E248" s="7">
        <v>84</v>
      </c>
      <c r="F248" s="2" t="s">
        <v>5</v>
      </c>
      <c r="G248" s="1">
        <v>22</v>
      </c>
      <c r="H248" s="6">
        <v>62</v>
      </c>
      <c r="I248" s="1">
        <v>56</v>
      </c>
      <c r="J248" s="116" t="str">
        <f t="shared" si="3"/>
        <v>평일</v>
      </c>
    </row>
    <row r="249" spans="1:10" ht="21.75" hidden="1" customHeight="1" x14ac:dyDescent="0.25">
      <c r="A249" s="2">
        <v>2021</v>
      </c>
      <c r="B249" s="2">
        <v>6</v>
      </c>
      <c r="C249" s="2" t="s">
        <v>158</v>
      </c>
      <c r="D249" s="3">
        <v>44358</v>
      </c>
      <c r="E249" s="7">
        <v>82</v>
      </c>
      <c r="F249" s="2" t="s">
        <v>5</v>
      </c>
      <c r="G249" s="1">
        <v>28</v>
      </c>
      <c r="H249" s="6">
        <v>54</v>
      </c>
      <c r="I249" s="1">
        <v>57</v>
      </c>
      <c r="J249" s="116" t="str">
        <f t="shared" si="3"/>
        <v>평일</v>
      </c>
    </row>
    <row r="250" spans="1:10" ht="21.75" hidden="1" customHeight="1" x14ac:dyDescent="0.25">
      <c r="A250" s="2">
        <v>2021</v>
      </c>
      <c r="B250" s="2">
        <v>6</v>
      </c>
      <c r="C250" s="2" t="s">
        <v>159</v>
      </c>
      <c r="D250" s="3">
        <v>44359</v>
      </c>
      <c r="E250" s="7">
        <v>313</v>
      </c>
      <c r="F250" s="2" t="s">
        <v>5</v>
      </c>
      <c r="G250" s="1">
        <v>78</v>
      </c>
      <c r="H250" s="6">
        <v>235</v>
      </c>
      <c r="I250" s="1">
        <v>58</v>
      </c>
      <c r="J250" s="116" t="str">
        <f t="shared" si="3"/>
        <v>주말</v>
      </c>
    </row>
    <row r="251" spans="1:10" ht="21.75" hidden="1" customHeight="1" x14ac:dyDescent="0.25">
      <c r="A251" s="2">
        <v>2021</v>
      </c>
      <c r="B251" s="2">
        <v>6</v>
      </c>
      <c r="C251" s="2" t="s">
        <v>160</v>
      </c>
      <c r="D251" s="3">
        <v>44360</v>
      </c>
      <c r="E251" s="7">
        <v>174</v>
      </c>
      <c r="F251" s="2" t="s">
        <v>5</v>
      </c>
      <c r="G251" s="1">
        <v>43</v>
      </c>
      <c r="H251" s="6">
        <v>131</v>
      </c>
      <c r="I251" s="1">
        <v>59</v>
      </c>
      <c r="J251" s="116" t="str">
        <f t="shared" si="3"/>
        <v>주말</v>
      </c>
    </row>
    <row r="252" spans="1:10" ht="21.75" hidden="1" customHeight="1" x14ac:dyDescent="0.25">
      <c r="A252" s="2">
        <v>2021</v>
      </c>
      <c r="B252" s="2">
        <v>6</v>
      </c>
      <c r="C252" s="2" t="s">
        <v>161</v>
      </c>
      <c r="D252" s="3">
        <v>44361</v>
      </c>
      <c r="E252" s="7">
        <v>0</v>
      </c>
      <c r="F252" s="2" t="s">
        <v>5</v>
      </c>
      <c r="G252" s="1">
        <v>0</v>
      </c>
      <c r="H252" s="6">
        <v>0</v>
      </c>
      <c r="I252" s="1">
        <v>60</v>
      </c>
      <c r="J252" s="116" t="str">
        <f t="shared" si="3"/>
        <v>평일</v>
      </c>
    </row>
    <row r="253" spans="1:10" ht="21.75" hidden="1" customHeight="1" x14ac:dyDescent="0.25">
      <c r="A253" s="2">
        <v>2021</v>
      </c>
      <c r="B253" s="2">
        <v>6</v>
      </c>
      <c r="C253" s="2" t="s">
        <v>162</v>
      </c>
      <c r="D253" s="3">
        <v>44362</v>
      </c>
      <c r="E253" s="7">
        <v>69</v>
      </c>
      <c r="F253" s="2" t="s">
        <v>5</v>
      </c>
      <c r="G253" s="1">
        <v>7</v>
      </c>
      <c r="H253" s="6">
        <v>62</v>
      </c>
      <c r="I253" s="1">
        <v>61</v>
      </c>
      <c r="J253" s="116" t="str">
        <f t="shared" si="3"/>
        <v>평일</v>
      </c>
    </row>
    <row r="254" spans="1:10" ht="21.75" hidden="1" customHeight="1" x14ac:dyDescent="0.25">
      <c r="A254" s="2">
        <v>2021</v>
      </c>
      <c r="B254" s="2">
        <v>6</v>
      </c>
      <c r="C254" s="2" t="s">
        <v>163</v>
      </c>
      <c r="D254" s="3">
        <v>44363</v>
      </c>
      <c r="E254" s="7">
        <v>62</v>
      </c>
      <c r="F254" s="2" t="s">
        <v>5</v>
      </c>
      <c r="G254" s="1">
        <v>24</v>
      </c>
      <c r="H254" s="6">
        <v>38</v>
      </c>
      <c r="I254" s="1">
        <v>62</v>
      </c>
      <c r="J254" s="116" t="str">
        <f t="shared" si="3"/>
        <v>평일</v>
      </c>
    </row>
    <row r="255" spans="1:10" ht="21.75" hidden="1" customHeight="1" x14ac:dyDescent="0.25">
      <c r="A255" s="2">
        <v>2021</v>
      </c>
      <c r="B255" s="2">
        <v>6</v>
      </c>
      <c r="C255" s="2" t="s">
        <v>157</v>
      </c>
      <c r="D255" s="3">
        <v>44364</v>
      </c>
      <c r="E255" s="7">
        <v>115</v>
      </c>
      <c r="F255" s="2" t="s">
        <v>5</v>
      </c>
      <c r="G255" s="1">
        <v>40</v>
      </c>
      <c r="H255" s="6">
        <v>75</v>
      </c>
      <c r="I255" s="1">
        <v>63</v>
      </c>
      <c r="J255" s="116" t="str">
        <f t="shared" si="3"/>
        <v>평일</v>
      </c>
    </row>
    <row r="256" spans="1:10" ht="21.75" hidden="1" customHeight="1" x14ac:dyDescent="0.25">
      <c r="A256" s="2">
        <v>2021</v>
      </c>
      <c r="B256" s="2">
        <v>6</v>
      </c>
      <c r="C256" s="2" t="s">
        <v>158</v>
      </c>
      <c r="D256" s="3">
        <v>44365</v>
      </c>
      <c r="E256" s="7">
        <v>130</v>
      </c>
      <c r="F256" s="2" t="s">
        <v>5</v>
      </c>
      <c r="G256" s="1">
        <v>35</v>
      </c>
      <c r="H256" s="6">
        <v>95</v>
      </c>
      <c r="I256" s="1">
        <v>64</v>
      </c>
      <c r="J256" s="116" t="str">
        <f t="shared" si="3"/>
        <v>평일</v>
      </c>
    </row>
    <row r="257" spans="1:10" ht="21.75" hidden="1" customHeight="1" x14ac:dyDescent="0.25">
      <c r="A257" s="2">
        <v>2021</v>
      </c>
      <c r="B257" s="2">
        <v>6</v>
      </c>
      <c r="C257" s="2" t="s">
        <v>159</v>
      </c>
      <c r="D257" s="3">
        <v>44366</v>
      </c>
      <c r="E257" s="7">
        <v>337</v>
      </c>
      <c r="F257" s="2" t="s">
        <v>5</v>
      </c>
      <c r="G257" s="1">
        <v>116</v>
      </c>
      <c r="H257" s="6">
        <v>221</v>
      </c>
      <c r="I257" s="1">
        <v>65</v>
      </c>
      <c r="J257" s="116" t="str">
        <f t="shared" si="3"/>
        <v>주말</v>
      </c>
    </row>
    <row r="258" spans="1:10" ht="21.75" hidden="1" customHeight="1" x14ac:dyDescent="0.25">
      <c r="A258" s="2">
        <v>2021</v>
      </c>
      <c r="B258" s="2">
        <v>6</v>
      </c>
      <c r="C258" s="2" t="s">
        <v>160</v>
      </c>
      <c r="D258" s="3">
        <v>44367</v>
      </c>
      <c r="E258" s="7">
        <v>214</v>
      </c>
      <c r="F258" s="2" t="s">
        <v>5</v>
      </c>
      <c r="G258" s="1">
        <v>51</v>
      </c>
      <c r="H258" s="6">
        <v>163</v>
      </c>
      <c r="I258" s="1">
        <v>66</v>
      </c>
      <c r="J258" s="116" t="str">
        <f t="shared" si="3"/>
        <v>주말</v>
      </c>
    </row>
    <row r="259" spans="1:10" ht="21.75" hidden="1" customHeight="1" x14ac:dyDescent="0.25">
      <c r="A259" s="2">
        <v>2021</v>
      </c>
      <c r="B259" s="2">
        <v>6</v>
      </c>
      <c r="C259" s="2" t="s">
        <v>161</v>
      </c>
      <c r="D259" s="3">
        <v>44368</v>
      </c>
      <c r="E259" s="7">
        <v>141</v>
      </c>
      <c r="F259" s="2" t="s">
        <v>5</v>
      </c>
      <c r="G259" s="1">
        <v>30</v>
      </c>
      <c r="H259" s="6">
        <v>111</v>
      </c>
      <c r="I259" s="1">
        <v>67</v>
      </c>
      <c r="J259" s="116" t="str">
        <f t="shared" ref="J259:J322" si="4">+IF(OR(C259="토",C259="일"),"주말","평일")</f>
        <v>평일</v>
      </c>
    </row>
    <row r="260" spans="1:10" ht="21.75" hidden="1" customHeight="1" x14ac:dyDescent="0.25">
      <c r="A260" s="2">
        <v>2021</v>
      </c>
      <c r="B260" s="2">
        <v>6</v>
      </c>
      <c r="C260" s="2" t="s">
        <v>162</v>
      </c>
      <c r="D260" s="3">
        <v>44369</v>
      </c>
      <c r="E260" s="7">
        <v>82</v>
      </c>
      <c r="F260" s="2" t="s">
        <v>5</v>
      </c>
      <c r="G260" s="1">
        <v>12</v>
      </c>
      <c r="H260" s="6">
        <v>70</v>
      </c>
      <c r="I260" s="1">
        <v>68</v>
      </c>
      <c r="J260" s="116" t="str">
        <f t="shared" si="4"/>
        <v>평일</v>
      </c>
    </row>
    <row r="261" spans="1:10" ht="21.75" hidden="1" customHeight="1" x14ac:dyDescent="0.25">
      <c r="A261" s="2">
        <v>2021</v>
      </c>
      <c r="B261" s="2">
        <v>6</v>
      </c>
      <c r="C261" s="2" t="s">
        <v>163</v>
      </c>
      <c r="D261" s="3">
        <v>44370</v>
      </c>
      <c r="E261" s="7">
        <v>79</v>
      </c>
      <c r="F261" s="2" t="s">
        <v>5</v>
      </c>
      <c r="G261" s="1">
        <v>26</v>
      </c>
      <c r="H261" s="6">
        <v>53</v>
      </c>
      <c r="I261" s="1">
        <v>69</v>
      </c>
      <c r="J261" s="116" t="str">
        <f t="shared" si="4"/>
        <v>평일</v>
      </c>
    </row>
    <row r="262" spans="1:10" ht="21.75" hidden="1" customHeight="1" x14ac:dyDescent="0.25">
      <c r="A262" s="2">
        <v>2021</v>
      </c>
      <c r="B262" s="2">
        <v>6</v>
      </c>
      <c r="C262" s="2" t="s">
        <v>157</v>
      </c>
      <c r="D262" s="3">
        <v>44371</v>
      </c>
      <c r="E262" s="7">
        <v>146</v>
      </c>
      <c r="F262" s="2" t="s">
        <v>5</v>
      </c>
      <c r="G262" s="1">
        <v>11</v>
      </c>
      <c r="H262" s="6">
        <v>135</v>
      </c>
      <c r="I262" s="1">
        <v>70</v>
      </c>
      <c r="J262" s="116" t="str">
        <f t="shared" si="4"/>
        <v>평일</v>
      </c>
    </row>
    <row r="263" spans="1:10" ht="21.75" hidden="1" customHeight="1" x14ac:dyDescent="0.25">
      <c r="A263" s="2">
        <v>2021</v>
      </c>
      <c r="B263" s="2">
        <v>6</v>
      </c>
      <c r="C263" s="2" t="s">
        <v>158</v>
      </c>
      <c r="D263" s="3">
        <v>44372</v>
      </c>
      <c r="E263" s="7">
        <v>132</v>
      </c>
      <c r="F263" s="2" t="s">
        <v>5</v>
      </c>
      <c r="G263" s="1">
        <v>34</v>
      </c>
      <c r="H263" s="6">
        <v>98</v>
      </c>
      <c r="I263" s="1">
        <v>71</v>
      </c>
      <c r="J263" s="116" t="str">
        <f t="shared" si="4"/>
        <v>평일</v>
      </c>
    </row>
    <row r="264" spans="1:10" ht="21.75" hidden="1" customHeight="1" x14ac:dyDescent="0.25">
      <c r="A264" s="2">
        <v>2021</v>
      </c>
      <c r="B264" s="2">
        <v>6</v>
      </c>
      <c r="C264" s="2" t="s">
        <v>159</v>
      </c>
      <c r="D264" s="3">
        <v>44373</v>
      </c>
      <c r="E264" s="7">
        <v>543</v>
      </c>
      <c r="F264" s="2" t="s">
        <v>5</v>
      </c>
      <c r="G264" s="1">
        <v>125</v>
      </c>
      <c r="H264" s="6">
        <v>418</v>
      </c>
      <c r="I264" s="1">
        <v>72</v>
      </c>
      <c r="J264" s="116" t="str">
        <f t="shared" si="4"/>
        <v>주말</v>
      </c>
    </row>
    <row r="265" spans="1:10" ht="21.75" hidden="1" customHeight="1" x14ac:dyDescent="0.25">
      <c r="A265" s="2">
        <v>2021</v>
      </c>
      <c r="B265" s="2">
        <v>6</v>
      </c>
      <c r="C265" s="2" t="s">
        <v>160</v>
      </c>
      <c r="D265" s="3">
        <v>44374</v>
      </c>
      <c r="E265" s="7">
        <v>353</v>
      </c>
      <c r="F265" s="2" t="s">
        <v>5</v>
      </c>
      <c r="G265" s="1">
        <v>108</v>
      </c>
      <c r="H265" s="6">
        <v>245</v>
      </c>
      <c r="I265" s="1">
        <v>73</v>
      </c>
      <c r="J265" s="116" t="str">
        <f t="shared" si="4"/>
        <v>주말</v>
      </c>
    </row>
    <row r="266" spans="1:10" ht="21.75" hidden="1" customHeight="1" x14ac:dyDescent="0.25">
      <c r="A266" s="2">
        <v>2021</v>
      </c>
      <c r="B266" s="2">
        <v>6</v>
      </c>
      <c r="C266" s="2" t="s">
        <v>161</v>
      </c>
      <c r="D266" s="3">
        <v>44375</v>
      </c>
      <c r="E266" s="7">
        <v>150</v>
      </c>
      <c r="F266" s="2" t="s">
        <v>5</v>
      </c>
      <c r="G266" s="1">
        <v>38</v>
      </c>
      <c r="H266" s="6">
        <v>112</v>
      </c>
      <c r="I266" s="1">
        <v>74</v>
      </c>
      <c r="J266" s="116" t="str">
        <f t="shared" si="4"/>
        <v>평일</v>
      </c>
    </row>
    <row r="267" spans="1:10" ht="21.75" hidden="1" customHeight="1" x14ac:dyDescent="0.25">
      <c r="A267" s="2">
        <v>2021</v>
      </c>
      <c r="B267" s="2">
        <v>6</v>
      </c>
      <c r="C267" s="2" t="s">
        <v>162</v>
      </c>
      <c r="D267" s="3">
        <v>44376</v>
      </c>
      <c r="E267" s="7">
        <v>87</v>
      </c>
      <c r="F267" s="2" t="s">
        <v>5</v>
      </c>
      <c r="G267" s="1">
        <v>22</v>
      </c>
      <c r="H267" s="6">
        <v>65</v>
      </c>
      <c r="I267" s="1">
        <v>75</v>
      </c>
      <c r="J267" s="116" t="str">
        <f t="shared" si="4"/>
        <v>평일</v>
      </c>
    </row>
    <row r="268" spans="1:10" ht="21.75" hidden="1" customHeight="1" x14ac:dyDescent="0.25">
      <c r="A268" s="2">
        <v>2021</v>
      </c>
      <c r="B268" s="2">
        <v>6</v>
      </c>
      <c r="C268" s="2" t="s">
        <v>163</v>
      </c>
      <c r="D268" s="3">
        <v>44377</v>
      </c>
      <c r="E268" s="7">
        <v>241</v>
      </c>
      <c r="F268" s="2" t="s">
        <v>5</v>
      </c>
      <c r="G268" s="1">
        <v>31</v>
      </c>
      <c r="H268" s="6">
        <v>210</v>
      </c>
      <c r="I268" s="1">
        <v>76</v>
      </c>
      <c r="J268" s="116" t="str">
        <f t="shared" si="4"/>
        <v>평일</v>
      </c>
    </row>
    <row r="269" spans="1:10" ht="21.75" hidden="1" customHeight="1" x14ac:dyDescent="0.25">
      <c r="A269" s="2">
        <v>2021</v>
      </c>
      <c r="B269" s="2">
        <v>7</v>
      </c>
      <c r="C269" s="2" t="s">
        <v>157</v>
      </c>
      <c r="D269" s="3">
        <v>44378</v>
      </c>
      <c r="E269" s="7">
        <v>238</v>
      </c>
      <c r="F269" s="2" t="s">
        <v>5</v>
      </c>
      <c r="G269" s="1">
        <v>36</v>
      </c>
      <c r="H269" s="6">
        <v>202</v>
      </c>
      <c r="I269" s="1">
        <v>77</v>
      </c>
      <c r="J269" s="116" t="str">
        <f t="shared" si="4"/>
        <v>평일</v>
      </c>
    </row>
    <row r="270" spans="1:10" ht="21.75" hidden="1" customHeight="1" x14ac:dyDescent="0.25">
      <c r="A270" s="2">
        <v>2021</v>
      </c>
      <c r="B270" s="2">
        <v>7</v>
      </c>
      <c r="C270" s="2" t="s">
        <v>158</v>
      </c>
      <c r="D270" s="3">
        <v>44379</v>
      </c>
      <c r="E270" s="7">
        <v>251</v>
      </c>
      <c r="F270" s="2" t="s">
        <v>5</v>
      </c>
      <c r="G270" s="1">
        <v>56</v>
      </c>
      <c r="H270" s="6">
        <v>195</v>
      </c>
      <c r="I270" s="1">
        <v>78</v>
      </c>
      <c r="J270" s="116" t="str">
        <f t="shared" si="4"/>
        <v>평일</v>
      </c>
    </row>
    <row r="271" spans="1:10" ht="21.75" hidden="1" customHeight="1" x14ac:dyDescent="0.25">
      <c r="A271" s="2">
        <v>2021</v>
      </c>
      <c r="B271" s="2">
        <v>7</v>
      </c>
      <c r="C271" s="2" t="s">
        <v>159</v>
      </c>
      <c r="D271" s="3">
        <v>44380</v>
      </c>
      <c r="E271" s="7">
        <v>656</v>
      </c>
      <c r="F271" s="2" t="s">
        <v>5</v>
      </c>
      <c r="G271" s="1">
        <v>215</v>
      </c>
      <c r="H271" s="6">
        <v>441</v>
      </c>
      <c r="I271" s="1">
        <v>79</v>
      </c>
      <c r="J271" s="116" t="str">
        <f t="shared" si="4"/>
        <v>주말</v>
      </c>
    </row>
    <row r="272" spans="1:10" ht="21.75" hidden="1" customHeight="1" x14ac:dyDescent="0.25">
      <c r="A272" s="2">
        <v>2021</v>
      </c>
      <c r="B272" s="2">
        <v>7</v>
      </c>
      <c r="C272" s="2" t="s">
        <v>160</v>
      </c>
      <c r="D272" s="3">
        <v>44381</v>
      </c>
      <c r="E272" s="7">
        <v>473</v>
      </c>
      <c r="F272" s="2" t="s">
        <v>5</v>
      </c>
      <c r="G272" s="1">
        <v>139</v>
      </c>
      <c r="H272" s="6">
        <v>334</v>
      </c>
      <c r="I272" s="1">
        <v>80</v>
      </c>
      <c r="J272" s="116" t="str">
        <f t="shared" si="4"/>
        <v>주말</v>
      </c>
    </row>
    <row r="273" spans="1:10" ht="21.75" hidden="1" customHeight="1" x14ac:dyDescent="0.25">
      <c r="A273" s="2">
        <v>2021</v>
      </c>
      <c r="B273" s="2">
        <v>7</v>
      </c>
      <c r="C273" s="2" t="s">
        <v>161</v>
      </c>
      <c r="D273" s="3">
        <v>44382</v>
      </c>
      <c r="E273" s="7">
        <v>220</v>
      </c>
      <c r="F273" s="2" t="s">
        <v>5</v>
      </c>
      <c r="G273" s="1">
        <v>54</v>
      </c>
      <c r="H273" s="6">
        <v>166</v>
      </c>
      <c r="I273" s="1">
        <v>81</v>
      </c>
      <c r="J273" s="116" t="str">
        <f t="shared" si="4"/>
        <v>평일</v>
      </c>
    </row>
    <row r="274" spans="1:10" ht="21.75" hidden="1" customHeight="1" x14ac:dyDescent="0.25">
      <c r="A274" s="2">
        <v>2021</v>
      </c>
      <c r="B274" s="2">
        <v>7</v>
      </c>
      <c r="C274" s="2" t="s">
        <v>162</v>
      </c>
      <c r="D274" s="3">
        <v>44383</v>
      </c>
      <c r="E274" s="7">
        <v>256</v>
      </c>
      <c r="F274" s="2" t="s">
        <v>5</v>
      </c>
      <c r="G274" s="1">
        <v>72</v>
      </c>
      <c r="H274" s="6">
        <v>184</v>
      </c>
      <c r="I274" s="1">
        <v>82</v>
      </c>
      <c r="J274" s="116" t="str">
        <f t="shared" si="4"/>
        <v>평일</v>
      </c>
    </row>
    <row r="275" spans="1:10" ht="21.75" hidden="1" customHeight="1" x14ac:dyDescent="0.25">
      <c r="A275" s="2">
        <v>2021</v>
      </c>
      <c r="B275" s="2">
        <v>7</v>
      </c>
      <c r="C275" s="2" t="s">
        <v>163</v>
      </c>
      <c r="D275" s="3">
        <v>44384</v>
      </c>
      <c r="E275" s="7">
        <v>216</v>
      </c>
      <c r="F275" s="2" t="s">
        <v>5</v>
      </c>
      <c r="G275" s="1">
        <v>79</v>
      </c>
      <c r="H275" s="6">
        <v>137</v>
      </c>
      <c r="I275" s="1">
        <v>83</v>
      </c>
      <c r="J275" s="116" t="str">
        <f t="shared" si="4"/>
        <v>평일</v>
      </c>
    </row>
    <row r="276" spans="1:10" ht="21.75" hidden="1" customHeight="1" x14ac:dyDescent="0.25">
      <c r="A276" s="2">
        <v>2021</v>
      </c>
      <c r="B276" s="2">
        <v>7</v>
      </c>
      <c r="C276" s="2" t="s">
        <v>157</v>
      </c>
      <c r="D276" s="3">
        <v>44385</v>
      </c>
      <c r="E276" s="7">
        <v>338</v>
      </c>
      <c r="F276" s="2" t="s">
        <v>5</v>
      </c>
      <c r="G276" s="1">
        <v>108</v>
      </c>
      <c r="H276" s="6">
        <v>230</v>
      </c>
      <c r="I276" s="1">
        <v>84</v>
      </c>
      <c r="J276" s="116" t="str">
        <f t="shared" si="4"/>
        <v>평일</v>
      </c>
    </row>
    <row r="277" spans="1:10" ht="21.75" hidden="1" customHeight="1" x14ac:dyDescent="0.25">
      <c r="A277" s="2">
        <v>2021</v>
      </c>
      <c r="B277" s="2">
        <v>7</v>
      </c>
      <c r="C277" s="2" t="s">
        <v>158</v>
      </c>
      <c r="D277" s="3">
        <v>44386</v>
      </c>
      <c r="E277" s="7">
        <v>354</v>
      </c>
      <c r="F277" s="2" t="s">
        <v>5</v>
      </c>
      <c r="G277" s="1">
        <v>135</v>
      </c>
      <c r="H277" s="6">
        <v>219</v>
      </c>
      <c r="I277" s="1">
        <v>85</v>
      </c>
      <c r="J277" s="116" t="str">
        <f t="shared" si="4"/>
        <v>평일</v>
      </c>
    </row>
    <row r="278" spans="1:10" ht="21.75" hidden="1" customHeight="1" x14ac:dyDescent="0.25">
      <c r="A278" s="2">
        <v>2021</v>
      </c>
      <c r="B278" s="2">
        <v>7</v>
      </c>
      <c r="C278" s="2" t="s">
        <v>159</v>
      </c>
      <c r="D278" s="3">
        <v>44387</v>
      </c>
      <c r="E278" s="7">
        <v>760</v>
      </c>
      <c r="F278" s="2" t="s">
        <v>5</v>
      </c>
      <c r="G278" s="1">
        <v>268</v>
      </c>
      <c r="H278" s="6">
        <v>492</v>
      </c>
      <c r="I278" s="1">
        <v>86</v>
      </c>
      <c r="J278" s="116" t="str">
        <f t="shared" si="4"/>
        <v>주말</v>
      </c>
    </row>
    <row r="279" spans="1:10" ht="21.75" hidden="1" customHeight="1" x14ac:dyDescent="0.25">
      <c r="A279" s="2">
        <v>2021</v>
      </c>
      <c r="B279" s="2">
        <v>7</v>
      </c>
      <c r="C279" s="2" t="s">
        <v>160</v>
      </c>
      <c r="D279" s="3">
        <v>44388</v>
      </c>
      <c r="E279" s="7">
        <v>639</v>
      </c>
      <c r="F279" s="2" t="s">
        <v>5</v>
      </c>
      <c r="G279" s="1">
        <v>264</v>
      </c>
      <c r="H279" s="6">
        <v>375</v>
      </c>
      <c r="I279" s="1">
        <v>87</v>
      </c>
      <c r="J279" s="116" t="str">
        <f t="shared" si="4"/>
        <v>주말</v>
      </c>
    </row>
    <row r="280" spans="1:10" ht="21.75" hidden="1" customHeight="1" x14ac:dyDescent="0.25">
      <c r="A280" s="2">
        <v>2021</v>
      </c>
      <c r="B280" s="2">
        <v>7</v>
      </c>
      <c r="C280" s="2" t="s">
        <v>161</v>
      </c>
      <c r="D280" s="3">
        <v>44389</v>
      </c>
      <c r="E280" s="7">
        <v>0</v>
      </c>
      <c r="F280" s="2">
        <v>0</v>
      </c>
      <c r="G280" s="1"/>
      <c r="H280" s="1"/>
      <c r="I280" s="1">
        <v>1</v>
      </c>
      <c r="J280" s="116" t="str">
        <f t="shared" si="4"/>
        <v>평일</v>
      </c>
    </row>
    <row r="281" spans="1:10" ht="21.75" hidden="1" customHeight="1" x14ac:dyDescent="0.25">
      <c r="A281" s="2">
        <v>2021</v>
      </c>
      <c r="B281" s="2">
        <v>7</v>
      </c>
      <c r="C281" s="2" t="s">
        <v>162</v>
      </c>
      <c r="D281" s="3">
        <v>44390</v>
      </c>
      <c r="E281" s="7">
        <v>0</v>
      </c>
      <c r="F281" s="2">
        <v>0</v>
      </c>
      <c r="G281" s="1"/>
      <c r="H281" s="1"/>
      <c r="I281" s="1">
        <v>2</v>
      </c>
      <c r="J281" s="116" t="str">
        <f t="shared" si="4"/>
        <v>평일</v>
      </c>
    </row>
    <row r="282" spans="1:10" ht="21.75" hidden="1" customHeight="1" x14ac:dyDescent="0.25">
      <c r="A282" s="2">
        <v>2021</v>
      </c>
      <c r="B282" s="2">
        <v>7</v>
      </c>
      <c r="C282" s="2" t="s">
        <v>163</v>
      </c>
      <c r="D282" s="3">
        <v>44391</v>
      </c>
      <c r="E282" s="7">
        <v>0</v>
      </c>
      <c r="F282" s="2">
        <v>0</v>
      </c>
      <c r="G282" s="1"/>
      <c r="H282" s="1"/>
      <c r="I282" s="1">
        <v>3</v>
      </c>
      <c r="J282" s="116" t="str">
        <f t="shared" si="4"/>
        <v>평일</v>
      </c>
    </row>
    <row r="283" spans="1:10" ht="21.75" hidden="1" customHeight="1" x14ac:dyDescent="0.25">
      <c r="A283" s="2">
        <v>2021</v>
      </c>
      <c r="B283" s="2">
        <v>7</v>
      </c>
      <c r="C283" s="2" t="s">
        <v>157</v>
      </c>
      <c r="D283" s="3">
        <v>44392</v>
      </c>
      <c r="E283" s="7">
        <v>0</v>
      </c>
      <c r="F283" s="2">
        <v>0</v>
      </c>
      <c r="G283" s="1"/>
      <c r="H283" s="1"/>
      <c r="I283" s="1">
        <v>4</v>
      </c>
      <c r="J283" s="116" t="str">
        <f t="shared" si="4"/>
        <v>평일</v>
      </c>
    </row>
    <row r="284" spans="1:10" ht="21.75" hidden="1" customHeight="1" x14ac:dyDescent="0.25">
      <c r="A284" s="2">
        <v>2021</v>
      </c>
      <c r="B284" s="2">
        <v>7</v>
      </c>
      <c r="C284" s="2" t="s">
        <v>158</v>
      </c>
      <c r="D284" s="3">
        <v>44393</v>
      </c>
      <c r="E284" s="7">
        <v>0</v>
      </c>
      <c r="F284" s="2">
        <v>0</v>
      </c>
      <c r="G284" s="1"/>
      <c r="H284" s="1"/>
      <c r="I284" s="1">
        <v>5</v>
      </c>
      <c r="J284" s="116" t="str">
        <f t="shared" si="4"/>
        <v>평일</v>
      </c>
    </row>
    <row r="285" spans="1:10" ht="21.75" hidden="1" customHeight="1" x14ac:dyDescent="0.25">
      <c r="A285" s="2">
        <v>2021</v>
      </c>
      <c r="B285" s="2">
        <v>7</v>
      </c>
      <c r="C285" s="2" t="s">
        <v>159</v>
      </c>
      <c r="D285" s="3">
        <v>44394</v>
      </c>
      <c r="E285" s="7">
        <v>0</v>
      </c>
      <c r="F285" s="2">
        <v>0</v>
      </c>
      <c r="G285" s="1"/>
      <c r="H285" s="1"/>
      <c r="I285" s="1">
        <v>6</v>
      </c>
      <c r="J285" s="116" t="str">
        <f t="shared" si="4"/>
        <v>주말</v>
      </c>
    </row>
    <row r="286" spans="1:10" ht="21.75" hidden="1" customHeight="1" x14ac:dyDescent="0.25">
      <c r="A286" s="2">
        <v>2021</v>
      </c>
      <c r="B286" s="2">
        <v>7</v>
      </c>
      <c r="C286" s="2" t="s">
        <v>160</v>
      </c>
      <c r="D286" s="3">
        <v>44395</v>
      </c>
      <c r="E286" s="7">
        <v>0</v>
      </c>
      <c r="F286" s="2">
        <v>0</v>
      </c>
      <c r="G286" s="1"/>
      <c r="H286" s="1"/>
      <c r="I286" s="1">
        <v>7</v>
      </c>
      <c r="J286" s="116" t="str">
        <f t="shared" si="4"/>
        <v>주말</v>
      </c>
    </row>
    <row r="287" spans="1:10" ht="21.75" hidden="1" customHeight="1" x14ac:dyDescent="0.25">
      <c r="A287" s="2">
        <v>2021</v>
      </c>
      <c r="B287" s="2">
        <v>7</v>
      </c>
      <c r="C287" s="2" t="s">
        <v>161</v>
      </c>
      <c r="D287" s="3">
        <v>44396</v>
      </c>
      <c r="E287" s="7">
        <v>0</v>
      </c>
      <c r="F287" s="2">
        <v>0</v>
      </c>
      <c r="G287" s="1"/>
      <c r="H287" s="1"/>
      <c r="I287" s="1">
        <v>8</v>
      </c>
      <c r="J287" s="116" t="str">
        <f t="shared" si="4"/>
        <v>평일</v>
      </c>
    </row>
    <row r="288" spans="1:10" ht="21.75" hidden="1" customHeight="1" x14ac:dyDescent="0.25">
      <c r="A288" s="2">
        <v>2021</v>
      </c>
      <c r="B288" s="2">
        <v>7</v>
      </c>
      <c r="C288" s="2" t="s">
        <v>162</v>
      </c>
      <c r="D288" s="3">
        <v>44397</v>
      </c>
      <c r="E288" s="7">
        <v>0</v>
      </c>
      <c r="F288" s="2">
        <v>0</v>
      </c>
      <c r="G288" s="1"/>
      <c r="H288" s="1"/>
      <c r="I288" s="1">
        <v>9</v>
      </c>
      <c r="J288" s="116" t="str">
        <f t="shared" si="4"/>
        <v>평일</v>
      </c>
    </row>
    <row r="289" spans="1:10" ht="21.75" hidden="1" customHeight="1" x14ac:dyDescent="0.25">
      <c r="A289" s="2">
        <v>2021</v>
      </c>
      <c r="B289" s="2">
        <v>7</v>
      </c>
      <c r="C289" s="2" t="s">
        <v>163</v>
      </c>
      <c r="D289" s="3">
        <v>44398</v>
      </c>
      <c r="E289" s="7">
        <v>0</v>
      </c>
      <c r="F289" s="2">
        <v>0</v>
      </c>
      <c r="G289" s="1"/>
      <c r="H289" s="1"/>
      <c r="I289" s="1">
        <v>10</v>
      </c>
      <c r="J289" s="116" t="str">
        <f t="shared" si="4"/>
        <v>평일</v>
      </c>
    </row>
    <row r="290" spans="1:10" ht="21.75" hidden="1" customHeight="1" x14ac:dyDescent="0.25">
      <c r="A290" s="2">
        <v>2021</v>
      </c>
      <c r="B290" s="2">
        <v>7</v>
      </c>
      <c r="C290" s="2" t="s">
        <v>157</v>
      </c>
      <c r="D290" s="3">
        <v>44399</v>
      </c>
      <c r="E290" s="7">
        <v>0</v>
      </c>
      <c r="F290" s="2">
        <v>0</v>
      </c>
      <c r="G290" s="1"/>
      <c r="H290" s="1"/>
      <c r="I290" s="1">
        <v>11</v>
      </c>
      <c r="J290" s="116" t="str">
        <f t="shared" si="4"/>
        <v>평일</v>
      </c>
    </row>
    <row r="291" spans="1:10" ht="21.75" hidden="1" customHeight="1" x14ac:dyDescent="0.25">
      <c r="A291" s="2">
        <v>2021</v>
      </c>
      <c r="B291" s="2">
        <v>7</v>
      </c>
      <c r="C291" s="2" t="s">
        <v>158</v>
      </c>
      <c r="D291" s="3">
        <v>44400</v>
      </c>
      <c r="E291" s="7">
        <v>0</v>
      </c>
      <c r="F291" s="2">
        <v>0</v>
      </c>
      <c r="G291" s="1"/>
      <c r="H291" s="1"/>
      <c r="I291" s="1">
        <v>12</v>
      </c>
      <c r="J291" s="116" t="str">
        <f t="shared" si="4"/>
        <v>평일</v>
      </c>
    </row>
    <row r="292" spans="1:10" ht="21.75" hidden="1" customHeight="1" x14ac:dyDescent="0.25">
      <c r="A292" s="2">
        <v>2021</v>
      </c>
      <c r="B292" s="2">
        <v>7</v>
      </c>
      <c r="C292" s="2" t="s">
        <v>159</v>
      </c>
      <c r="D292" s="3">
        <v>44401</v>
      </c>
      <c r="E292" s="7">
        <v>0</v>
      </c>
      <c r="F292" s="2">
        <v>0</v>
      </c>
      <c r="G292" s="1"/>
      <c r="H292" s="1"/>
      <c r="I292" s="1">
        <v>13</v>
      </c>
      <c r="J292" s="116" t="str">
        <f t="shared" si="4"/>
        <v>주말</v>
      </c>
    </row>
    <row r="293" spans="1:10" ht="21.75" hidden="1" customHeight="1" x14ac:dyDescent="0.25">
      <c r="A293" s="2">
        <v>2021</v>
      </c>
      <c r="B293" s="2">
        <v>7</v>
      </c>
      <c r="C293" s="2" t="s">
        <v>160</v>
      </c>
      <c r="D293" s="3">
        <v>44402</v>
      </c>
      <c r="E293" s="7">
        <v>0</v>
      </c>
      <c r="F293" s="2">
        <v>0</v>
      </c>
      <c r="G293" s="1"/>
      <c r="H293" s="1"/>
      <c r="I293" s="1">
        <v>14</v>
      </c>
      <c r="J293" s="116" t="str">
        <f t="shared" si="4"/>
        <v>주말</v>
      </c>
    </row>
    <row r="294" spans="1:10" ht="21.75" hidden="1" customHeight="1" x14ac:dyDescent="0.25">
      <c r="A294" s="2">
        <v>2021</v>
      </c>
      <c r="B294" s="2">
        <v>7</v>
      </c>
      <c r="C294" s="2" t="s">
        <v>161</v>
      </c>
      <c r="D294" s="3">
        <v>44403</v>
      </c>
      <c r="E294" s="7">
        <v>0</v>
      </c>
      <c r="F294" s="2">
        <v>0</v>
      </c>
      <c r="G294" s="1"/>
      <c r="H294" s="1"/>
      <c r="I294" s="1">
        <v>15</v>
      </c>
      <c r="J294" s="116" t="str">
        <f t="shared" si="4"/>
        <v>평일</v>
      </c>
    </row>
    <row r="295" spans="1:10" ht="21.75" hidden="1" customHeight="1" x14ac:dyDescent="0.25">
      <c r="A295" s="2">
        <v>2021</v>
      </c>
      <c r="B295" s="2">
        <v>7</v>
      </c>
      <c r="C295" s="2" t="s">
        <v>162</v>
      </c>
      <c r="D295" s="3">
        <v>44404</v>
      </c>
      <c r="E295" s="7">
        <v>0</v>
      </c>
      <c r="F295" s="2">
        <v>0</v>
      </c>
      <c r="G295" s="1"/>
      <c r="H295" s="1"/>
      <c r="I295" s="1">
        <v>16</v>
      </c>
      <c r="J295" s="116" t="str">
        <f t="shared" si="4"/>
        <v>평일</v>
      </c>
    </row>
    <row r="296" spans="1:10" ht="21.75" hidden="1" customHeight="1" x14ac:dyDescent="0.25">
      <c r="A296" s="2">
        <v>2021</v>
      </c>
      <c r="B296" s="2">
        <v>7</v>
      </c>
      <c r="C296" s="2" t="s">
        <v>163</v>
      </c>
      <c r="D296" s="3">
        <v>44405</v>
      </c>
      <c r="E296" s="7">
        <v>0</v>
      </c>
      <c r="F296" s="2">
        <v>0</v>
      </c>
      <c r="G296" s="1"/>
      <c r="H296" s="1"/>
      <c r="I296" s="1">
        <v>17</v>
      </c>
      <c r="J296" s="116" t="str">
        <f t="shared" si="4"/>
        <v>평일</v>
      </c>
    </row>
    <row r="297" spans="1:10" ht="21.75" hidden="1" customHeight="1" x14ac:dyDescent="0.25">
      <c r="A297" s="2">
        <v>2021</v>
      </c>
      <c r="B297" s="2">
        <v>7</v>
      </c>
      <c r="C297" s="2" t="s">
        <v>157</v>
      </c>
      <c r="D297" s="3">
        <v>44406</v>
      </c>
      <c r="E297" s="7">
        <v>0</v>
      </c>
      <c r="F297" s="2">
        <v>0</v>
      </c>
      <c r="G297" s="1"/>
      <c r="H297" s="1"/>
      <c r="I297" s="1">
        <v>18</v>
      </c>
      <c r="J297" s="116" t="str">
        <f t="shared" si="4"/>
        <v>평일</v>
      </c>
    </row>
    <row r="298" spans="1:10" ht="21.75" hidden="1" customHeight="1" x14ac:dyDescent="0.25">
      <c r="A298" s="2">
        <v>2021</v>
      </c>
      <c r="B298" s="2">
        <v>7</v>
      </c>
      <c r="C298" s="2" t="s">
        <v>158</v>
      </c>
      <c r="D298" s="3">
        <v>44407</v>
      </c>
      <c r="E298" s="7">
        <v>0</v>
      </c>
      <c r="F298" s="2">
        <v>0</v>
      </c>
      <c r="G298" s="1"/>
      <c r="H298" s="1"/>
      <c r="I298" s="1">
        <v>19</v>
      </c>
      <c r="J298" s="116" t="str">
        <f t="shared" si="4"/>
        <v>평일</v>
      </c>
    </row>
    <row r="299" spans="1:10" ht="21.75" hidden="1" customHeight="1" x14ac:dyDescent="0.25">
      <c r="A299" s="2">
        <v>2021</v>
      </c>
      <c r="B299" s="2">
        <v>7</v>
      </c>
      <c r="C299" s="2" t="s">
        <v>159</v>
      </c>
      <c r="D299" s="3">
        <v>44408</v>
      </c>
      <c r="E299" s="7">
        <v>0</v>
      </c>
      <c r="F299" s="2">
        <v>0</v>
      </c>
      <c r="G299" s="1"/>
      <c r="H299" s="1"/>
      <c r="I299" s="1">
        <v>20</v>
      </c>
      <c r="J299" s="116" t="str">
        <f t="shared" si="4"/>
        <v>주말</v>
      </c>
    </row>
    <row r="300" spans="1:10" ht="21.75" hidden="1" customHeight="1" x14ac:dyDescent="0.25">
      <c r="A300" s="2">
        <v>2021</v>
      </c>
      <c r="B300" s="2">
        <v>8</v>
      </c>
      <c r="C300" s="2" t="s">
        <v>160</v>
      </c>
      <c r="D300" s="3">
        <v>44409</v>
      </c>
      <c r="E300" s="7">
        <v>0</v>
      </c>
      <c r="F300" s="2">
        <v>0</v>
      </c>
      <c r="G300" s="1"/>
      <c r="H300" s="1"/>
      <c r="I300" s="1">
        <v>21</v>
      </c>
      <c r="J300" s="116" t="str">
        <f t="shared" si="4"/>
        <v>주말</v>
      </c>
    </row>
    <row r="301" spans="1:10" ht="21.75" hidden="1" customHeight="1" x14ac:dyDescent="0.25">
      <c r="A301" s="2">
        <v>2021</v>
      </c>
      <c r="B301" s="2">
        <v>8</v>
      </c>
      <c r="C301" s="2" t="s">
        <v>161</v>
      </c>
      <c r="D301" s="3">
        <v>44410</v>
      </c>
      <c r="E301" s="7">
        <v>0</v>
      </c>
      <c r="F301" s="2">
        <v>0</v>
      </c>
      <c r="G301" s="1"/>
      <c r="H301" s="1"/>
      <c r="I301" s="1">
        <v>22</v>
      </c>
      <c r="J301" s="116" t="str">
        <f t="shared" si="4"/>
        <v>평일</v>
      </c>
    </row>
    <row r="302" spans="1:10" ht="21.75" hidden="1" customHeight="1" x14ac:dyDescent="0.25">
      <c r="A302" s="2">
        <v>2021</v>
      </c>
      <c r="B302" s="2">
        <v>8</v>
      </c>
      <c r="C302" s="2" t="s">
        <v>162</v>
      </c>
      <c r="D302" s="3">
        <v>44411</v>
      </c>
      <c r="E302" s="7">
        <v>0</v>
      </c>
      <c r="F302" s="2">
        <v>0</v>
      </c>
      <c r="G302" s="1"/>
      <c r="H302" s="1"/>
      <c r="I302" s="1">
        <v>23</v>
      </c>
      <c r="J302" s="116" t="str">
        <f t="shared" si="4"/>
        <v>평일</v>
      </c>
    </row>
    <row r="303" spans="1:10" ht="21.75" hidden="1" customHeight="1" x14ac:dyDescent="0.25">
      <c r="A303" s="2">
        <v>2021</v>
      </c>
      <c r="B303" s="2">
        <v>8</v>
      </c>
      <c r="C303" s="2" t="s">
        <v>163</v>
      </c>
      <c r="D303" s="3">
        <v>44412</v>
      </c>
      <c r="E303" s="7">
        <v>0</v>
      </c>
      <c r="F303" s="2">
        <v>0</v>
      </c>
      <c r="G303" s="1"/>
      <c r="H303" s="1"/>
      <c r="I303" s="1">
        <v>24</v>
      </c>
      <c r="J303" s="116" t="str">
        <f t="shared" si="4"/>
        <v>평일</v>
      </c>
    </row>
    <row r="304" spans="1:10" ht="21.75" hidden="1" customHeight="1" x14ac:dyDescent="0.25">
      <c r="A304" s="2">
        <v>2021</v>
      </c>
      <c r="B304" s="2">
        <v>8</v>
      </c>
      <c r="C304" s="2" t="s">
        <v>157</v>
      </c>
      <c r="D304" s="3">
        <v>44413</v>
      </c>
      <c r="E304" s="7">
        <v>0</v>
      </c>
      <c r="F304" s="2">
        <v>0</v>
      </c>
      <c r="G304" s="1"/>
      <c r="H304" s="1"/>
      <c r="I304" s="1">
        <v>25</v>
      </c>
      <c r="J304" s="116" t="str">
        <f t="shared" si="4"/>
        <v>평일</v>
      </c>
    </row>
    <row r="305" spans="1:10" ht="21.75" hidden="1" customHeight="1" x14ac:dyDescent="0.25">
      <c r="A305" s="2">
        <v>2021</v>
      </c>
      <c r="B305" s="2">
        <v>8</v>
      </c>
      <c r="C305" s="2" t="s">
        <v>158</v>
      </c>
      <c r="D305" s="3">
        <v>44414</v>
      </c>
      <c r="E305" s="7">
        <v>0</v>
      </c>
      <c r="F305" s="2">
        <v>0</v>
      </c>
      <c r="G305" s="1"/>
      <c r="H305" s="1"/>
      <c r="I305" s="1">
        <v>26</v>
      </c>
      <c r="J305" s="116" t="str">
        <f t="shared" si="4"/>
        <v>평일</v>
      </c>
    </row>
    <row r="306" spans="1:10" ht="21.75" hidden="1" customHeight="1" x14ac:dyDescent="0.25">
      <c r="A306" s="2">
        <v>2021</v>
      </c>
      <c r="B306" s="2">
        <v>8</v>
      </c>
      <c r="C306" s="2" t="s">
        <v>159</v>
      </c>
      <c r="D306" s="3">
        <v>44415</v>
      </c>
      <c r="E306" s="7">
        <v>0</v>
      </c>
      <c r="F306" s="2">
        <v>0</v>
      </c>
      <c r="G306" s="1"/>
      <c r="H306" s="1"/>
      <c r="I306" s="1">
        <v>27</v>
      </c>
      <c r="J306" s="116" t="str">
        <f t="shared" si="4"/>
        <v>주말</v>
      </c>
    </row>
    <row r="307" spans="1:10" ht="21.75" hidden="1" customHeight="1" x14ac:dyDescent="0.25">
      <c r="A307" s="2">
        <v>2021</v>
      </c>
      <c r="B307" s="2">
        <v>8</v>
      </c>
      <c r="C307" s="2" t="s">
        <v>160</v>
      </c>
      <c r="D307" s="3">
        <v>44416</v>
      </c>
      <c r="E307" s="7">
        <v>0</v>
      </c>
      <c r="F307" s="2">
        <v>0</v>
      </c>
      <c r="G307" s="1"/>
      <c r="H307" s="1"/>
      <c r="I307" s="1">
        <v>28</v>
      </c>
      <c r="J307" s="116" t="str">
        <f t="shared" si="4"/>
        <v>주말</v>
      </c>
    </row>
    <row r="308" spans="1:10" ht="21.75" hidden="1" customHeight="1" x14ac:dyDescent="0.25">
      <c r="A308" s="2">
        <v>2021</v>
      </c>
      <c r="B308" s="2">
        <v>8</v>
      </c>
      <c r="C308" s="2" t="s">
        <v>161</v>
      </c>
      <c r="D308" s="3">
        <v>44417</v>
      </c>
      <c r="E308" s="7">
        <v>0</v>
      </c>
      <c r="F308" s="2">
        <v>0</v>
      </c>
      <c r="G308" s="1"/>
      <c r="H308" s="1"/>
      <c r="I308" s="1">
        <v>29</v>
      </c>
      <c r="J308" s="116" t="str">
        <f t="shared" si="4"/>
        <v>평일</v>
      </c>
    </row>
    <row r="309" spans="1:10" ht="21.75" hidden="1" customHeight="1" x14ac:dyDescent="0.25">
      <c r="A309" s="2">
        <v>2021</v>
      </c>
      <c r="B309" s="2">
        <v>8</v>
      </c>
      <c r="C309" s="2" t="s">
        <v>162</v>
      </c>
      <c r="D309" s="3">
        <v>44418</v>
      </c>
      <c r="E309" s="7">
        <v>0</v>
      </c>
      <c r="F309" s="2">
        <v>0</v>
      </c>
      <c r="G309" s="1"/>
      <c r="H309" s="1"/>
      <c r="I309" s="1">
        <v>30</v>
      </c>
      <c r="J309" s="116" t="str">
        <f t="shared" si="4"/>
        <v>평일</v>
      </c>
    </row>
    <row r="310" spans="1:10" ht="21.75" hidden="1" customHeight="1" x14ac:dyDescent="0.25">
      <c r="A310" s="2">
        <v>2021</v>
      </c>
      <c r="B310" s="2">
        <v>8</v>
      </c>
      <c r="C310" s="2" t="s">
        <v>163</v>
      </c>
      <c r="D310" s="3">
        <v>44419</v>
      </c>
      <c r="E310" s="7">
        <v>0</v>
      </c>
      <c r="F310" s="2">
        <v>0</v>
      </c>
      <c r="G310" s="1"/>
      <c r="H310" s="1"/>
      <c r="I310" s="1">
        <v>31</v>
      </c>
      <c r="J310" s="116" t="str">
        <f t="shared" si="4"/>
        <v>평일</v>
      </c>
    </row>
    <row r="311" spans="1:10" ht="21.75" hidden="1" customHeight="1" x14ac:dyDescent="0.25">
      <c r="A311" s="2">
        <v>2021</v>
      </c>
      <c r="B311" s="2">
        <v>8</v>
      </c>
      <c r="C311" s="2" t="s">
        <v>157</v>
      </c>
      <c r="D311" s="3">
        <v>44420</v>
      </c>
      <c r="E311" s="7">
        <v>0</v>
      </c>
      <c r="F311" s="2">
        <v>0</v>
      </c>
      <c r="G311" s="1"/>
      <c r="H311" s="1"/>
      <c r="I311" s="1">
        <v>32</v>
      </c>
      <c r="J311" s="116" t="str">
        <f t="shared" si="4"/>
        <v>평일</v>
      </c>
    </row>
    <row r="312" spans="1:10" ht="21.75" hidden="1" customHeight="1" x14ac:dyDescent="0.25">
      <c r="A312" s="2">
        <v>2021</v>
      </c>
      <c r="B312" s="2">
        <v>8</v>
      </c>
      <c r="C312" s="2" t="s">
        <v>158</v>
      </c>
      <c r="D312" s="3">
        <v>44421</v>
      </c>
      <c r="E312" s="7">
        <v>0</v>
      </c>
      <c r="F312" s="2">
        <v>0</v>
      </c>
      <c r="G312" s="1"/>
      <c r="H312" s="1"/>
      <c r="I312" s="1">
        <v>33</v>
      </c>
      <c r="J312" s="116" t="str">
        <f t="shared" si="4"/>
        <v>평일</v>
      </c>
    </row>
    <row r="313" spans="1:10" ht="21.75" hidden="1" customHeight="1" x14ac:dyDescent="0.25">
      <c r="A313" s="2">
        <v>2021</v>
      </c>
      <c r="B313" s="2">
        <v>8</v>
      </c>
      <c r="C313" s="2" t="s">
        <v>159</v>
      </c>
      <c r="D313" s="3">
        <v>44422</v>
      </c>
      <c r="E313" s="7">
        <v>0</v>
      </c>
      <c r="F313" s="2">
        <v>0</v>
      </c>
      <c r="G313" s="1"/>
      <c r="H313" s="1"/>
      <c r="I313" s="1">
        <v>34</v>
      </c>
      <c r="J313" s="116" t="str">
        <f t="shared" si="4"/>
        <v>주말</v>
      </c>
    </row>
    <row r="314" spans="1:10" ht="21.75" hidden="1" customHeight="1" x14ac:dyDescent="0.25">
      <c r="A314" s="2">
        <v>2021</v>
      </c>
      <c r="B314" s="2">
        <v>8</v>
      </c>
      <c r="C314" s="2" t="s">
        <v>160</v>
      </c>
      <c r="D314" s="3">
        <v>44423</v>
      </c>
      <c r="E314" s="7">
        <v>0</v>
      </c>
      <c r="F314" s="2">
        <v>0</v>
      </c>
      <c r="G314" s="1"/>
      <c r="H314" s="1"/>
      <c r="I314" s="1">
        <v>35</v>
      </c>
      <c r="J314" s="116" t="str">
        <f t="shared" si="4"/>
        <v>주말</v>
      </c>
    </row>
    <row r="315" spans="1:10" ht="21.75" hidden="1" customHeight="1" x14ac:dyDescent="0.25">
      <c r="A315" s="2">
        <v>2021</v>
      </c>
      <c r="B315" s="2">
        <v>8</v>
      </c>
      <c r="C315" s="2" t="s">
        <v>161</v>
      </c>
      <c r="D315" s="3">
        <v>44424</v>
      </c>
      <c r="E315" s="7">
        <v>0</v>
      </c>
      <c r="F315" s="2">
        <v>0</v>
      </c>
      <c r="G315" s="1"/>
      <c r="H315" s="1"/>
      <c r="I315" s="1">
        <v>36</v>
      </c>
      <c r="J315" s="116" t="str">
        <f t="shared" si="4"/>
        <v>평일</v>
      </c>
    </row>
    <row r="316" spans="1:10" ht="21.75" hidden="1" customHeight="1" x14ac:dyDescent="0.25">
      <c r="A316" s="2">
        <v>2021</v>
      </c>
      <c r="B316" s="2">
        <v>8</v>
      </c>
      <c r="C316" s="2" t="s">
        <v>162</v>
      </c>
      <c r="D316" s="3">
        <v>44425</v>
      </c>
      <c r="E316" s="7">
        <v>0</v>
      </c>
      <c r="F316" s="2">
        <v>0</v>
      </c>
      <c r="G316" s="1"/>
      <c r="H316" s="1"/>
      <c r="I316" s="1">
        <v>37</v>
      </c>
      <c r="J316" s="116" t="str">
        <f t="shared" si="4"/>
        <v>평일</v>
      </c>
    </row>
    <row r="317" spans="1:10" ht="21.75" hidden="1" customHeight="1" x14ac:dyDescent="0.25">
      <c r="A317" s="2">
        <v>2021</v>
      </c>
      <c r="B317" s="2">
        <v>8</v>
      </c>
      <c r="C317" s="2" t="s">
        <v>163</v>
      </c>
      <c r="D317" s="3">
        <v>44426</v>
      </c>
      <c r="E317" s="7">
        <v>0</v>
      </c>
      <c r="F317" s="2">
        <v>0</v>
      </c>
      <c r="G317" s="1"/>
      <c r="H317" s="1"/>
      <c r="I317" s="1">
        <v>38</v>
      </c>
      <c r="J317" s="116" t="str">
        <f t="shared" si="4"/>
        <v>평일</v>
      </c>
    </row>
    <row r="318" spans="1:10" ht="21.75" hidden="1" customHeight="1" x14ac:dyDescent="0.25">
      <c r="A318" s="2">
        <v>2021</v>
      </c>
      <c r="B318" s="2">
        <v>8</v>
      </c>
      <c r="C318" s="2" t="s">
        <v>157</v>
      </c>
      <c r="D318" s="3">
        <v>44427</v>
      </c>
      <c r="E318" s="7">
        <v>0</v>
      </c>
      <c r="F318" s="2">
        <v>0</v>
      </c>
      <c r="G318" s="1"/>
      <c r="H318" s="1"/>
      <c r="I318" s="1">
        <v>39</v>
      </c>
      <c r="J318" s="116" t="str">
        <f t="shared" si="4"/>
        <v>평일</v>
      </c>
    </row>
    <row r="319" spans="1:10" ht="21.75" hidden="1" customHeight="1" x14ac:dyDescent="0.25">
      <c r="A319" s="2">
        <v>2021</v>
      </c>
      <c r="B319" s="2">
        <v>8</v>
      </c>
      <c r="C319" s="2" t="s">
        <v>158</v>
      </c>
      <c r="D319" s="3">
        <v>44428</v>
      </c>
      <c r="E319" s="7">
        <v>0</v>
      </c>
      <c r="F319" s="2">
        <v>0</v>
      </c>
      <c r="G319" s="1"/>
      <c r="H319" s="1"/>
      <c r="I319" s="1">
        <v>40</v>
      </c>
      <c r="J319" s="116" t="str">
        <f t="shared" si="4"/>
        <v>평일</v>
      </c>
    </row>
    <row r="320" spans="1:10" ht="21.75" hidden="1" customHeight="1" x14ac:dyDescent="0.25">
      <c r="A320" s="2">
        <v>2021</v>
      </c>
      <c r="B320" s="2">
        <v>8</v>
      </c>
      <c r="C320" s="2" t="s">
        <v>159</v>
      </c>
      <c r="D320" s="3">
        <v>44429</v>
      </c>
      <c r="E320" s="7">
        <v>0</v>
      </c>
      <c r="F320" s="2">
        <v>0</v>
      </c>
      <c r="G320" s="1"/>
      <c r="H320" s="1"/>
      <c r="I320" s="1">
        <v>41</v>
      </c>
      <c r="J320" s="116" t="str">
        <f t="shared" si="4"/>
        <v>주말</v>
      </c>
    </row>
    <row r="321" spans="1:10" ht="21.75" hidden="1" customHeight="1" x14ac:dyDescent="0.25">
      <c r="A321" s="2">
        <v>2021</v>
      </c>
      <c r="B321" s="2">
        <v>8</v>
      </c>
      <c r="C321" s="2" t="s">
        <v>160</v>
      </c>
      <c r="D321" s="3">
        <v>44430</v>
      </c>
      <c r="E321" s="7">
        <v>0</v>
      </c>
      <c r="F321" s="2">
        <v>0</v>
      </c>
      <c r="G321" s="1"/>
      <c r="H321" s="1"/>
      <c r="I321" s="1">
        <v>42</v>
      </c>
      <c r="J321" s="116" t="str">
        <f t="shared" si="4"/>
        <v>주말</v>
      </c>
    </row>
    <row r="322" spans="1:10" ht="21.75" hidden="1" customHeight="1" x14ac:dyDescent="0.25">
      <c r="A322" s="2">
        <v>2021</v>
      </c>
      <c r="B322" s="2">
        <v>8</v>
      </c>
      <c r="C322" s="2" t="s">
        <v>161</v>
      </c>
      <c r="D322" s="3">
        <v>44431</v>
      </c>
      <c r="E322" s="7">
        <v>0</v>
      </c>
      <c r="F322" s="2">
        <v>0</v>
      </c>
      <c r="G322" s="1"/>
      <c r="H322" s="1"/>
      <c r="I322" s="1">
        <v>43</v>
      </c>
      <c r="J322" s="116" t="str">
        <f t="shared" si="4"/>
        <v>평일</v>
      </c>
    </row>
    <row r="323" spans="1:10" ht="21.75" hidden="1" customHeight="1" x14ac:dyDescent="0.25">
      <c r="A323" s="2">
        <v>2021</v>
      </c>
      <c r="B323" s="2">
        <v>8</v>
      </c>
      <c r="C323" s="2" t="s">
        <v>162</v>
      </c>
      <c r="D323" s="3">
        <v>44432</v>
      </c>
      <c r="E323" s="7">
        <v>0</v>
      </c>
      <c r="F323" s="2">
        <v>0</v>
      </c>
      <c r="G323" s="1"/>
      <c r="H323" s="1"/>
      <c r="I323" s="1">
        <v>44</v>
      </c>
      <c r="J323" s="116" t="str">
        <f t="shared" ref="J323:J386" si="5">+IF(OR(C323="토",C323="일"),"주말","평일")</f>
        <v>평일</v>
      </c>
    </row>
    <row r="324" spans="1:10" ht="21.75" hidden="1" customHeight="1" x14ac:dyDescent="0.25">
      <c r="A324" s="2">
        <v>2021</v>
      </c>
      <c r="B324" s="2">
        <v>8</v>
      </c>
      <c r="C324" s="2" t="s">
        <v>163</v>
      </c>
      <c r="D324" s="3">
        <v>44433</v>
      </c>
      <c r="E324" s="7">
        <v>0</v>
      </c>
      <c r="F324" s="2">
        <v>0</v>
      </c>
      <c r="G324" s="1"/>
      <c r="H324" s="1"/>
      <c r="I324" s="1">
        <v>45</v>
      </c>
      <c r="J324" s="116" t="str">
        <f t="shared" si="5"/>
        <v>평일</v>
      </c>
    </row>
    <row r="325" spans="1:10" ht="21.75" hidden="1" customHeight="1" x14ac:dyDescent="0.25">
      <c r="A325" s="2">
        <v>2021</v>
      </c>
      <c r="B325" s="2">
        <v>8</v>
      </c>
      <c r="C325" s="2" t="s">
        <v>157</v>
      </c>
      <c r="D325" s="3">
        <v>44434</v>
      </c>
      <c r="E325" s="7">
        <v>0</v>
      </c>
      <c r="F325" s="2">
        <v>0</v>
      </c>
      <c r="G325" s="1"/>
      <c r="H325" s="1"/>
      <c r="I325" s="1">
        <v>46</v>
      </c>
      <c r="J325" s="116" t="str">
        <f t="shared" si="5"/>
        <v>평일</v>
      </c>
    </row>
    <row r="326" spans="1:10" ht="21.75" hidden="1" customHeight="1" x14ac:dyDescent="0.25">
      <c r="A326" s="2">
        <v>2021</v>
      </c>
      <c r="B326" s="2">
        <v>8</v>
      </c>
      <c r="C326" s="2" t="s">
        <v>158</v>
      </c>
      <c r="D326" s="3">
        <v>44435</v>
      </c>
      <c r="E326" s="7">
        <v>0</v>
      </c>
      <c r="F326" s="2">
        <v>0</v>
      </c>
      <c r="G326" s="1"/>
      <c r="H326" s="1"/>
      <c r="I326" s="1">
        <v>47</v>
      </c>
      <c r="J326" s="116" t="str">
        <f t="shared" si="5"/>
        <v>평일</v>
      </c>
    </row>
    <row r="327" spans="1:10" ht="21.75" hidden="1" customHeight="1" x14ac:dyDescent="0.25">
      <c r="A327" s="2">
        <v>2021</v>
      </c>
      <c r="B327" s="2">
        <v>8</v>
      </c>
      <c r="C327" s="2" t="s">
        <v>159</v>
      </c>
      <c r="D327" s="3">
        <v>44436</v>
      </c>
      <c r="E327" s="7">
        <v>0</v>
      </c>
      <c r="F327" s="2">
        <v>0</v>
      </c>
      <c r="G327" s="1"/>
      <c r="H327" s="1"/>
      <c r="I327" s="1">
        <v>48</v>
      </c>
      <c r="J327" s="116" t="str">
        <f t="shared" si="5"/>
        <v>주말</v>
      </c>
    </row>
    <row r="328" spans="1:10" ht="21.75" hidden="1" customHeight="1" x14ac:dyDescent="0.25">
      <c r="A328" s="2">
        <v>2021</v>
      </c>
      <c r="B328" s="2">
        <v>8</v>
      </c>
      <c r="C328" s="2" t="s">
        <v>160</v>
      </c>
      <c r="D328" s="3">
        <v>44437</v>
      </c>
      <c r="E328" s="7">
        <v>0</v>
      </c>
      <c r="F328" s="2">
        <v>0</v>
      </c>
      <c r="G328" s="1"/>
      <c r="H328" s="1"/>
      <c r="I328" s="1">
        <v>49</v>
      </c>
      <c r="J328" s="116" t="str">
        <f t="shared" si="5"/>
        <v>주말</v>
      </c>
    </row>
    <row r="329" spans="1:10" ht="21.75" hidden="1" customHeight="1" x14ac:dyDescent="0.25">
      <c r="A329" s="2">
        <v>2021</v>
      </c>
      <c r="B329" s="2">
        <v>8</v>
      </c>
      <c r="C329" s="2" t="s">
        <v>161</v>
      </c>
      <c r="D329" s="3">
        <v>44438</v>
      </c>
      <c r="E329" s="7">
        <v>0</v>
      </c>
      <c r="F329" s="2">
        <v>0</v>
      </c>
      <c r="G329" s="1"/>
      <c r="H329" s="1"/>
      <c r="I329" s="1">
        <v>50</v>
      </c>
      <c r="J329" s="116" t="str">
        <f t="shared" si="5"/>
        <v>평일</v>
      </c>
    </row>
    <row r="330" spans="1:10" ht="21.75" hidden="1" customHeight="1" x14ac:dyDescent="0.25">
      <c r="A330" s="2">
        <v>2021</v>
      </c>
      <c r="B330" s="2">
        <v>8</v>
      </c>
      <c r="C330" s="2" t="s">
        <v>162</v>
      </c>
      <c r="D330" s="3">
        <v>44439</v>
      </c>
      <c r="E330" s="7">
        <v>0</v>
      </c>
      <c r="F330" s="2">
        <v>0</v>
      </c>
      <c r="G330" s="1"/>
      <c r="H330" s="1"/>
      <c r="I330" s="1">
        <v>51</v>
      </c>
      <c r="J330" s="116" t="str">
        <f t="shared" si="5"/>
        <v>평일</v>
      </c>
    </row>
    <row r="331" spans="1:10" ht="21.75" hidden="1" customHeight="1" x14ac:dyDescent="0.25">
      <c r="A331" s="2">
        <v>2021</v>
      </c>
      <c r="B331" s="2">
        <v>9</v>
      </c>
      <c r="C331" s="2" t="s">
        <v>163</v>
      </c>
      <c r="D331" s="3">
        <v>44440</v>
      </c>
      <c r="E331" s="7">
        <v>0</v>
      </c>
      <c r="F331" s="2">
        <v>0</v>
      </c>
      <c r="G331" s="1"/>
      <c r="H331" s="1"/>
      <c r="I331" s="1">
        <v>52</v>
      </c>
      <c r="J331" s="116" t="str">
        <f t="shared" si="5"/>
        <v>평일</v>
      </c>
    </row>
    <row r="332" spans="1:10" ht="21.75" hidden="1" customHeight="1" x14ac:dyDescent="0.25">
      <c r="A332" s="2">
        <v>2021</v>
      </c>
      <c r="B332" s="2">
        <v>9</v>
      </c>
      <c r="C332" s="2" t="s">
        <v>157</v>
      </c>
      <c r="D332" s="3">
        <v>44441</v>
      </c>
      <c r="E332" s="7">
        <v>0</v>
      </c>
      <c r="F332" s="2">
        <v>0</v>
      </c>
      <c r="G332" s="1"/>
      <c r="H332" s="1"/>
      <c r="I332" s="1">
        <v>53</v>
      </c>
      <c r="J332" s="116" t="str">
        <f t="shared" si="5"/>
        <v>평일</v>
      </c>
    </row>
    <row r="333" spans="1:10" ht="21.75" hidden="1" customHeight="1" x14ac:dyDescent="0.25">
      <c r="A333" s="2">
        <v>2021</v>
      </c>
      <c r="B333" s="2">
        <v>9</v>
      </c>
      <c r="C333" s="2" t="s">
        <v>158</v>
      </c>
      <c r="D333" s="3">
        <v>44442</v>
      </c>
      <c r="E333" s="7">
        <v>0</v>
      </c>
      <c r="F333" s="2">
        <v>0</v>
      </c>
      <c r="G333" s="1"/>
      <c r="H333" s="1"/>
      <c r="I333" s="1">
        <v>54</v>
      </c>
      <c r="J333" s="116" t="str">
        <f t="shared" si="5"/>
        <v>평일</v>
      </c>
    </row>
    <row r="334" spans="1:10" ht="21.75" hidden="1" customHeight="1" x14ac:dyDescent="0.25">
      <c r="A334" s="2">
        <v>2021</v>
      </c>
      <c r="B334" s="2">
        <v>9</v>
      </c>
      <c r="C334" s="2" t="s">
        <v>159</v>
      </c>
      <c r="D334" s="3">
        <v>44443</v>
      </c>
      <c r="E334" s="7">
        <v>0</v>
      </c>
      <c r="F334" s="2">
        <v>0</v>
      </c>
      <c r="G334" s="1"/>
      <c r="H334" s="1"/>
      <c r="I334" s="1">
        <v>55</v>
      </c>
      <c r="J334" s="116" t="str">
        <f t="shared" si="5"/>
        <v>주말</v>
      </c>
    </row>
    <row r="335" spans="1:10" ht="21.75" hidden="1" customHeight="1" x14ac:dyDescent="0.25">
      <c r="A335" s="2">
        <v>2021</v>
      </c>
      <c r="B335" s="2">
        <v>9</v>
      </c>
      <c r="C335" s="2" t="s">
        <v>160</v>
      </c>
      <c r="D335" s="3">
        <v>44444</v>
      </c>
      <c r="E335" s="7">
        <v>0</v>
      </c>
      <c r="F335" s="2">
        <v>0</v>
      </c>
      <c r="G335" s="1"/>
      <c r="H335" s="1"/>
      <c r="I335" s="1">
        <v>56</v>
      </c>
      <c r="J335" s="116" t="str">
        <f t="shared" si="5"/>
        <v>주말</v>
      </c>
    </row>
    <row r="336" spans="1:10" ht="21.75" hidden="1" customHeight="1" x14ac:dyDescent="0.25">
      <c r="A336" s="2">
        <v>2021</v>
      </c>
      <c r="B336" s="2">
        <v>9</v>
      </c>
      <c r="C336" s="2" t="s">
        <v>161</v>
      </c>
      <c r="D336" s="3">
        <v>44445</v>
      </c>
      <c r="E336" s="7">
        <v>0</v>
      </c>
      <c r="F336" s="2">
        <v>0</v>
      </c>
      <c r="G336" s="1"/>
      <c r="H336" s="1"/>
      <c r="I336" s="1">
        <v>57</v>
      </c>
      <c r="J336" s="116" t="str">
        <f t="shared" si="5"/>
        <v>평일</v>
      </c>
    </row>
    <row r="337" spans="1:10" ht="21.75" hidden="1" customHeight="1" x14ac:dyDescent="0.25">
      <c r="A337" s="2">
        <v>2021</v>
      </c>
      <c r="B337" s="2">
        <v>9</v>
      </c>
      <c r="C337" s="2" t="s">
        <v>162</v>
      </c>
      <c r="D337" s="3">
        <v>44446</v>
      </c>
      <c r="E337" s="7">
        <v>0</v>
      </c>
      <c r="F337" s="2">
        <v>0</v>
      </c>
      <c r="G337" s="1"/>
      <c r="H337" s="1"/>
      <c r="I337" s="1">
        <v>58</v>
      </c>
      <c r="J337" s="116" t="str">
        <f t="shared" si="5"/>
        <v>평일</v>
      </c>
    </row>
    <row r="338" spans="1:10" ht="21.75" hidden="1" customHeight="1" x14ac:dyDescent="0.25">
      <c r="A338" s="2">
        <v>2021</v>
      </c>
      <c r="B338" s="2">
        <v>9</v>
      </c>
      <c r="C338" s="2" t="s">
        <v>163</v>
      </c>
      <c r="D338" s="3">
        <v>44447</v>
      </c>
      <c r="E338" s="7">
        <v>0</v>
      </c>
      <c r="F338" s="2">
        <v>0</v>
      </c>
      <c r="G338" s="1"/>
      <c r="H338" s="1"/>
      <c r="I338" s="1">
        <v>59</v>
      </c>
      <c r="J338" s="116" t="str">
        <f t="shared" si="5"/>
        <v>평일</v>
      </c>
    </row>
    <row r="339" spans="1:10" ht="21.75" hidden="1" customHeight="1" x14ac:dyDescent="0.25">
      <c r="A339" s="2">
        <v>2021</v>
      </c>
      <c r="B339" s="2">
        <v>9</v>
      </c>
      <c r="C339" s="2" t="s">
        <v>157</v>
      </c>
      <c r="D339" s="3">
        <v>44448</v>
      </c>
      <c r="E339" s="7">
        <v>0</v>
      </c>
      <c r="F339" s="2">
        <v>0</v>
      </c>
      <c r="G339" s="1"/>
      <c r="H339" s="1"/>
      <c r="I339" s="1">
        <v>60</v>
      </c>
      <c r="J339" s="116" t="str">
        <f t="shared" si="5"/>
        <v>평일</v>
      </c>
    </row>
    <row r="340" spans="1:10" ht="21.75" hidden="1" customHeight="1" x14ac:dyDescent="0.25">
      <c r="A340" s="2">
        <v>2021</v>
      </c>
      <c r="B340" s="2">
        <v>9</v>
      </c>
      <c r="C340" s="2" t="s">
        <v>158</v>
      </c>
      <c r="D340" s="3">
        <v>44449</v>
      </c>
      <c r="E340" s="7">
        <v>0</v>
      </c>
      <c r="F340" s="2">
        <v>0</v>
      </c>
      <c r="G340" s="1"/>
      <c r="H340" s="1"/>
      <c r="I340" s="1">
        <v>61</v>
      </c>
      <c r="J340" s="116" t="str">
        <f t="shared" si="5"/>
        <v>평일</v>
      </c>
    </row>
    <row r="341" spans="1:10" ht="21.75" hidden="1" customHeight="1" x14ac:dyDescent="0.25">
      <c r="A341" s="2">
        <v>2021</v>
      </c>
      <c r="B341" s="2">
        <v>9</v>
      </c>
      <c r="C341" s="2" t="s">
        <v>159</v>
      </c>
      <c r="D341" s="3">
        <v>44450</v>
      </c>
      <c r="E341" s="7">
        <v>0</v>
      </c>
      <c r="F341" s="2">
        <v>0</v>
      </c>
      <c r="G341" s="1"/>
      <c r="H341" s="1"/>
      <c r="I341" s="1">
        <v>62</v>
      </c>
      <c r="J341" s="116" t="str">
        <f t="shared" si="5"/>
        <v>주말</v>
      </c>
    </row>
    <row r="342" spans="1:10" ht="21.75" hidden="1" customHeight="1" x14ac:dyDescent="0.25">
      <c r="A342" s="2">
        <v>2021</v>
      </c>
      <c r="B342" s="2">
        <v>9</v>
      </c>
      <c r="C342" s="2" t="s">
        <v>160</v>
      </c>
      <c r="D342" s="3">
        <v>44451</v>
      </c>
      <c r="E342" s="7">
        <v>0</v>
      </c>
      <c r="F342" s="2">
        <v>0</v>
      </c>
      <c r="G342" s="1"/>
      <c r="H342" s="1"/>
      <c r="I342" s="1">
        <v>63</v>
      </c>
      <c r="J342" s="116" t="str">
        <f t="shared" si="5"/>
        <v>주말</v>
      </c>
    </row>
    <row r="343" spans="1:10" ht="21.75" hidden="1" customHeight="1" x14ac:dyDescent="0.25">
      <c r="A343" s="2">
        <v>2021</v>
      </c>
      <c r="B343" s="2">
        <v>9</v>
      </c>
      <c r="C343" s="2" t="s">
        <v>161</v>
      </c>
      <c r="D343" s="3">
        <v>44452</v>
      </c>
      <c r="E343" s="7">
        <v>0</v>
      </c>
      <c r="F343" s="2">
        <v>0</v>
      </c>
      <c r="G343" s="1"/>
      <c r="H343" s="1"/>
      <c r="I343" s="1">
        <v>64</v>
      </c>
      <c r="J343" s="116" t="str">
        <f t="shared" si="5"/>
        <v>평일</v>
      </c>
    </row>
    <row r="344" spans="1:10" ht="21.75" hidden="1" customHeight="1" x14ac:dyDescent="0.25">
      <c r="A344" s="2">
        <v>2021</v>
      </c>
      <c r="B344" s="2">
        <v>9</v>
      </c>
      <c r="C344" s="2" t="s">
        <v>162</v>
      </c>
      <c r="D344" s="3">
        <v>44453</v>
      </c>
      <c r="E344" s="7">
        <v>0</v>
      </c>
      <c r="F344" s="2">
        <v>0</v>
      </c>
      <c r="G344" s="1"/>
      <c r="H344" s="1"/>
      <c r="I344" s="1">
        <v>65</v>
      </c>
      <c r="J344" s="116" t="str">
        <f t="shared" si="5"/>
        <v>평일</v>
      </c>
    </row>
    <row r="345" spans="1:10" ht="21.75" hidden="1" customHeight="1" x14ac:dyDescent="0.25">
      <c r="A345" s="2">
        <v>2021</v>
      </c>
      <c r="B345" s="2">
        <v>9</v>
      </c>
      <c r="C345" s="2" t="s">
        <v>163</v>
      </c>
      <c r="D345" s="3">
        <v>44454</v>
      </c>
      <c r="E345" s="7">
        <v>0</v>
      </c>
      <c r="F345" s="2">
        <v>0</v>
      </c>
      <c r="G345" s="1"/>
      <c r="H345" s="1"/>
      <c r="I345" s="1">
        <v>66</v>
      </c>
      <c r="J345" s="116" t="str">
        <f t="shared" si="5"/>
        <v>평일</v>
      </c>
    </row>
    <row r="346" spans="1:10" ht="21.75" hidden="1" customHeight="1" x14ac:dyDescent="0.25">
      <c r="A346" s="2">
        <v>2021</v>
      </c>
      <c r="B346" s="2">
        <v>9</v>
      </c>
      <c r="C346" s="2" t="s">
        <v>157</v>
      </c>
      <c r="D346" s="3">
        <v>44455</v>
      </c>
      <c r="E346" s="7">
        <v>0</v>
      </c>
      <c r="F346" s="2">
        <v>0</v>
      </c>
      <c r="G346" s="1"/>
      <c r="H346" s="1"/>
      <c r="I346" s="1">
        <v>67</v>
      </c>
      <c r="J346" s="116" t="str">
        <f t="shared" si="5"/>
        <v>평일</v>
      </c>
    </row>
    <row r="347" spans="1:10" ht="21.75" hidden="1" customHeight="1" x14ac:dyDescent="0.25">
      <c r="A347" s="2">
        <v>2021</v>
      </c>
      <c r="B347" s="2">
        <v>9</v>
      </c>
      <c r="C347" s="2" t="s">
        <v>158</v>
      </c>
      <c r="D347" s="3">
        <v>44456</v>
      </c>
      <c r="E347" s="7">
        <v>0</v>
      </c>
      <c r="F347" s="2">
        <v>0</v>
      </c>
      <c r="G347" s="1"/>
      <c r="H347" s="1"/>
      <c r="I347" s="1">
        <v>68</v>
      </c>
      <c r="J347" s="116" t="str">
        <f t="shared" si="5"/>
        <v>평일</v>
      </c>
    </row>
    <row r="348" spans="1:10" ht="21.75" hidden="1" customHeight="1" x14ac:dyDescent="0.25">
      <c r="A348" s="2">
        <v>2021</v>
      </c>
      <c r="B348" s="2">
        <v>9</v>
      </c>
      <c r="C348" s="2" t="s">
        <v>159</v>
      </c>
      <c r="D348" s="3">
        <v>44457</v>
      </c>
      <c r="E348" s="7">
        <v>0</v>
      </c>
      <c r="F348" s="2">
        <v>0</v>
      </c>
      <c r="G348" s="1"/>
      <c r="H348" s="1"/>
      <c r="I348" s="1">
        <v>69</v>
      </c>
      <c r="J348" s="116" t="str">
        <f t="shared" si="5"/>
        <v>주말</v>
      </c>
    </row>
    <row r="349" spans="1:10" ht="21.75" hidden="1" customHeight="1" x14ac:dyDescent="0.25">
      <c r="A349" s="2">
        <v>2021</v>
      </c>
      <c r="B349" s="2">
        <v>9</v>
      </c>
      <c r="C349" s="2" t="s">
        <v>160</v>
      </c>
      <c r="D349" s="3">
        <v>44458</v>
      </c>
      <c r="E349" s="7">
        <v>0</v>
      </c>
      <c r="F349" s="2">
        <v>0</v>
      </c>
      <c r="G349" s="1"/>
      <c r="H349" s="1"/>
      <c r="I349" s="1">
        <v>70</v>
      </c>
      <c r="J349" s="116" t="str">
        <f t="shared" si="5"/>
        <v>주말</v>
      </c>
    </row>
    <row r="350" spans="1:10" ht="21.75" hidden="1" customHeight="1" x14ac:dyDescent="0.25">
      <c r="A350" s="2">
        <v>2021</v>
      </c>
      <c r="B350" s="2">
        <v>9</v>
      </c>
      <c r="C350" s="2" t="s">
        <v>161</v>
      </c>
      <c r="D350" s="3">
        <v>44459</v>
      </c>
      <c r="E350" s="7">
        <v>0</v>
      </c>
      <c r="F350" s="2">
        <v>0</v>
      </c>
      <c r="G350" s="1"/>
      <c r="H350" s="1"/>
      <c r="I350" s="1">
        <v>71</v>
      </c>
      <c r="J350" s="116" t="str">
        <f t="shared" si="5"/>
        <v>평일</v>
      </c>
    </row>
    <row r="351" spans="1:10" ht="21.75" hidden="1" customHeight="1" x14ac:dyDescent="0.25">
      <c r="A351" s="2">
        <v>2021</v>
      </c>
      <c r="B351" s="2">
        <v>9</v>
      </c>
      <c r="C351" s="2" t="s">
        <v>162</v>
      </c>
      <c r="D351" s="3">
        <v>44460</v>
      </c>
      <c r="E351" s="7">
        <v>0</v>
      </c>
      <c r="F351" s="2">
        <v>0</v>
      </c>
      <c r="G351" s="1"/>
      <c r="H351" s="1"/>
      <c r="I351" s="1">
        <v>72</v>
      </c>
      <c r="J351" s="116" t="str">
        <f t="shared" si="5"/>
        <v>평일</v>
      </c>
    </row>
    <row r="352" spans="1:10" ht="21.75" hidden="1" customHeight="1" x14ac:dyDescent="0.25">
      <c r="A352" s="2">
        <v>2021</v>
      </c>
      <c r="B352" s="2">
        <v>9</v>
      </c>
      <c r="C352" s="2" t="s">
        <v>163</v>
      </c>
      <c r="D352" s="3">
        <v>44461</v>
      </c>
      <c r="E352" s="7">
        <v>0</v>
      </c>
      <c r="F352" s="2">
        <v>0</v>
      </c>
      <c r="G352" s="1"/>
      <c r="H352" s="1"/>
      <c r="I352" s="1">
        <v>73</v>
      </c>
      <c r="J352" s="116" t="str">
        <f t="shared" si="5"/>
        <v>평일</v>
      </c>
    </row>
    <row r="353" spans="1:10" ht="21.75" hidden="1" customHeight="1" x14ac:dyDescent="0.25">
      <c r="A353" s="2">
        <v>2021</v>
      </c>
      <c r="B353" s="2">
        <v>9</v>
      </c>
      <c r="C353" s="2" t="s">
        <v>157</v>
      </c>
      <c r="D353" s="3">
        <v>44462</v>
      </c>
      <c r="E353" s="7">
        <v>0</v>
      </c>
      <c r="F353" s="2">
        <v>0</v>
      </c>
      <c r="G353" s="1"/>
      <c r="H353" s="1"/>
      <c r="I353" s="1">
        <v>74</v>
      </c>
      <c r="J353" s="116" t="str">
        <f t="shared" si="5"/>
        <v>평일</v>
      </c>
    </row>
    <row r="354" spans="1:10" ht="21.75" hidden="1" customHeight="1" x14ac:dyDescent="0.25">
      <c r="A354" s="2">
        <v>2021</v>
      </c>
      <c r="B354" s="2">
        <v>9</v>
      </c>
      <c r="C354" s="2" t="s">
        <v>158</v>
      </c>
      <c r="D354" s="3">
        <v>44463</v>
      </c>
      <c r="E354" s="7">
        <v>0</v>
      </c>
      <c r="F354" s="2">
        <v>0</v>
      </c>
      <c r="G354" s="1"/>
      <c r="H354" s="1"/>
      <c r="I354" s="1">
        <v>75</v>
      </c>
      <c r="J354" s="116" t="str">
        <f t="shared" si="5"/>
        <v>평일</v>
      </c>
    </row>
    <row r="355" spans="1:10" ht="21.75" hidden="1" customHeight="1" x14ac:dyDescent="0.25">
      <c r="A355" s="2">
        <v>2021</v>
      </c>
      <c r="B355" s="2">
        <v>9</v>
      </c>
      <c r="C355" s="2" t="s">
        <v>159</v>
      </c>
      <c r="D355" s="3">
        <v>44464</v>
      </c>
      <c r="E355" s="7">
        <v>0</v>
      </c>
      <c r="F355" s="2">
        <v>0</v>
      </c>
      <c r="G355" s="1"/>
      <c r="H355" s="1"/>
      <c r="I355" s="1">
        <v>76</v>
      </c>
      <c r="J355" s="116" t="str">
        <f t="shared" si="5"/>
        <v>주말</v>
      </c>
    </row>
    <row r="356" spans="1:10" ht="21.75" hidden="1" customHeight="1" x14ac:dyDescent="0.25">
      <c r="A356" s="2">
        <v>2021</v>
      </c>
      <c r="B356" s="2">
        <v>9</v>
      </c>
      <c r="C356" s="2" t="s">
        <v>160</v>
      </c>
      <c r="D356" s="3">
        <v>44465</v>
      </c>
      <c r="E356" s="7">
        <v>0</v>
      </c>
      <c r="F356" s="2">
        <v>0</v>
      </c>
      <c r="G356" s="1"/>
      <c r="H356" s="1"/>
      <c r="I356" s="1">
        <v>77</v>
      </c>
      <c r="J356" s="116" t="str">
        <f t="shared" si="5"/>
        <v>주말</v>
      </c>
    </row>
    <row r="357" spans="1:10" ht="21.75" hidden="1" customHeight="1" x14ac:dyDescent="0.25">
      <c r="A357" s="2">
        <v>2021</v>
      </c>
      <c r="B357" s="2">
        <v>9</v>
      </c>
      <c r="C357" s="2" t="s">
        <v>161</v>
      </c>
      <c r="D357" s="3">
        <v>44466</v>
      </c>
      <c r="E357" s="7">
        <v>0</v>
      </c>
      <c r="F357" s="2">
        <v>0</v>
      </c>
      <c r="G357" s="1"/>
      <c r="H357" s="1"/>
      <c r="I357" s="1">
        <v>78</v>
      </c>
      <c r="J357" s="116" t="str">
        <f t="shared" si="5"/>
        <v>평일</v>
      </c>
    </row>
    <row r="358" spans="1:10" ht="21.75" hidden="1" customHeight="1" x14ac:dyDescent="0.25">
      <c r="A358" s="2">
        <v>2021</v>
      </c>
      <c r="B358" s="2">
        <v>9</v>
      </c>
      <c r="C358" s="2" t="s">
        <v>162</v>
      </c>
      <c r="D358" s="3">
        <v>44467</v>
      </c>
      <c r="E358" s="7">
        <v>0</v>
      </c>
      <c r="F358" s="2">
        <v>0</v>
      </c>
      <c r="G358" s="1"/>
      <c r="H358" s="1"/>
      <c r="I358" s="1">
        <v>79</v>
      </c>
      <c r="J358" s="116" t="str">
        <f t="shared" si="5"/>
        <v>평일</v>
      </c>
    </row>
    <row r="359" spans="1:10" ht="21.75" hidden="1" customHeight="1" x14ac:dyDescent="0.25">
      <c r="A359" s="2">
        <v>2021</v>
      </c>
      <c r="B359" s="2">
        <v>9</v>
      </c>
      <c r="C359" s="2" t="s">
        <v>163</v>
      </c>
      <c r="D359" s="3">
        <v>44468</v>
      </c>
      <c r="E359" s="7">
        <v>0</v>
      </c>
      <c r="F359" s="2">
        <v>0</v>
      </c>
      <c r="G359" s="1"/>
      <c r="H359" s="1"/>
      <c r="I359" s="1">
        <v>80</v>
      </c>
      <c r="J359" s="116" t="str">
        <f t="shared" si="5"/>
        <v>평일</v>
      </c>
    </row>
    <row r="360" spans="1:10" ht="21.75" hidden="1" customHeight="1" x14ac:dyDescent="0.25">
      <c r="A360" s="2">
        <v>2021</v>
      </c>
      <c r="B360" s="2">
        <v>9</v>
      </c>
      <c r="C360" s="2" t="s">
        <v>157</v>
      </c>
      <c r="D360" s="3">
        <v>44469</v>
      </c>
      <c r="E360" s="7">
        <v>89</v>
      </c>
      <c r="F360" s="2" t="s">
        <v>4</v>
      </c>
      <c r="G360" s="1">
        <v>23</v>
      </c>
      <c r="H360" s="6">
        <v>66</v>
      </c>
      <c r="I360" s="1">
        <v>1</v>
      </c>
      <c r="J360" s="116" t="str">
        <f t="shared" si="5"/>
        <v>평일</v>
      </c>
    </row>
    <row r="361" spans="1:10" ht="21.75" hidden="1" customHeight="1" x14ac:dyDescent="0.25">
      <c r="A361" s="2">
        <v>2021</v>
      </c>
      <c r="B361" s="2">
        <v>10</v>
      </c>
      <c r="C361" s="2" t="s">
        <v>158</v>
      </c>
      <c r="D361" s="3">
        <v>44470</v>
      </c>
      <c r="E361" s="7">
        <v>98</v>
      </c>
      <c r="F361" s="2" t="s">
        <v>4</v>
      </c>
      <c r="G361" s="1">
        <v>16</v>
      </c>
      <c r="H361" s="6">
        <v>82</v>
      </c>
      <c r="I361" s="1">
        <v>2</v>
      </c>
      <c r="J361" s="116" t="str">
        <f t="shared" si="5"/>
        <v>평일</v>
      </c>
    </row>
    <row r="362" spans="1:10" ht="21.75" hidden="1" customHeight="1" x14ac:dyDescent="0.25">
      <c r="A362" s="2">
        <v>2021</v>
      </c>
      <c r="B362" s="2">
        <v>10</v>
      </c>
      <c r="C362" s="2" t="s">
        <v>159</v>
      </c>
      <c r="D362" s="3">
        <v>44471</v>
      </c>
      <c r="E362" s="7">
        <v>188</v>
      </c>
      <c r="F362" s="2" t="s">
        <v>4</v>
      </c>
      <c r="G362" s="1">
        <v>20</v>
      </c>
      <c r="H362" s="6">
        <v>168</v>
      </c>
      <c r="I362" s="1">
        <v>3</v>
      </c>
      <c r="J362" s="116" t="str">
        <f t="shared" si="5"/>
        <v>주말</v>
      </c>
    </row>
    <row r="363" spans="1:10" ht="21.75" hidden="1" customHeight="1" x14ac:dyDescent="0.25">
      <c r="A363" s="2">
        <v>2021</v>
      </c>
      <c r="B363" s="2">
        <v>10</v>
      </c>
      <c r="C363" s="2" t="s">
        <v>160</v>
      </c>
      <c r="D363" s="3">
        <v>44472</v>
      </c>
      <c r="E363" s="7">
        <v>158</v>
      </c>
      <c r="F363" s="2" t="s">
        <v>4</v>
      </c>
      <c r="G363" s="1">
        <v>20</v>
      </c>
      <c r="H363" s="6">
        <v>138</v>
      </c>
      <c r="I363" s="1">
        <v>4</v>
      </c>
      <c r="J363" s="116" t="str">
        <f t="shared" si="5"/>
        <v>주말</v>
      </c>
    </row>
    <row r="364" spans="1:10" ht="21.75" hidden="1" customHeight="1" x14ac:dyDescent="0.25">
      <c r="A364" s="2">
        <v>2021</v>
      </c>
      <c r="B364" s="2">
        <v>10</v>
      </c>
      <c r="C364" s="2" t="s">
        <v>161</v>
      </c>
      <c r="D364" s="3">
        <v>44473</v>
      </c>
      <c r="E364" s="7">
        <v>181</v>
      </c>
      <c r="F364" s="2" t="s">
        <v>4</v>
      </c>
      <c r="G364" s="1">
        <v>17</v>
      </c>
      <c r="H364" s="6">
        <v>164</v>
      </c>
      <c r="I364" s="1">
        <v>5</v>
      </c>
      <c r="J364" s="116" t="str">
        <f t="shared" si="5"/>
        <v>평일</v>
      </c>
    </row>
    <row r="365" spans="1:10" ht="21.75" hidden="1" customHeight="1" x14ac:dyDescent="0.25">
      <c r="A365" s="2">
        <v>2021</v>
      </c>
      <c r="B365" s="2">
        <v>10</v>
      </c>
      <c r="C365" s="2" t="s">
        <v>162</v>
      </c>
      <c r="D365" s="3">
        <v>44474</v>
      </c>
      <c r="E365" s="7">
        <v>36</v>
      </c>
      <c r="F365" s="2" t="s">
        <v>4</v>
      </c>
      <c r="G365" s="1">
        <v>6</v>
      </c>
      <c r="H365" s="6">
        <v>30</v>
      </c>
      <c r="I365" s="1">
        <v>6</v>
      </c>
      <c r="J365" s="116" t="str">
        <f t="shared" si="5"/>
        <v>평일</v>
      </c>
    </row>
    <row r="366" spans="1:10" ht="21.75" hidden="1" customHeight="1" x14ac:dyDescent="0.25">
      <c r="A366" s="2">
        <v>2021</v>
      </c>
      <c r="B366" s="2">
        <v>10</v>
      </c>
      <c r="C366" s="2" t="s">
        <v>163</v>
      </c>
      <c r="D366" s="3">
        <v>44475</v>
      </c>
      <c r="E366" s="7">
        <v>60</v>
      </c>
      <c r="F366" s="2" t="s">
        <v>4</v>
      </c>
      <c r="G366" s="1">
        <v>15</v>
      </c>
      <c r="H366" s="6">
        <v>45</v>
      </c>
      <c r="I366" s="1">
        <v>7</v>
      </c>
      <c r="J366" s="116" t="str">
        <f t="shared" si="5"/>
        <v>평일</v>
      </c>
    </row>
    <row r="367" spans="1:10" ht="21.75" hidden="1" customHeight="1" x14ac:dyDescent="0.25">
      <c r="A367" s="2">
        <v>2021</v>
      </c>
      <c r="B367" s="2">
        <v>10</v>
      </c>
      <c r="C367" s="2" t="s">
        <v>157</v>
      </c>
      <c r="D367" s="3">
        <v>44476</v>
      </c>
      <c r="E367" s="7">
        <v>73</v>
      </c>
      <c r="F367" s="2" t="s">
        <v>4</v>
      </c>
      <c r="G367" s="1">
        <v>16</v>
      </c>
      <c r="H367" s="6">
        <v>57</v>
      </c>
      <c r="I367" s="1">
        <v>8</v>
      </c>
      <c r="J367" s="116" t="str">
        <f t="shared" si="5"/>
        <v>평일</v>
      </c>
    </row>
    <row r="368" spans="1:10" ht="21.75" hidden="1" customHeight="1" x14ac:dyDescent="0.25">
      <c r="A368" s="2">
        <v>2021</v>
      </c>
      <c r="B368" s="2">
        <v>10</v>
      </c>
      <c r="C368" s="2" t="s">
        <v>158</v>
      </c>
      <c r="D368" s="3">
        <v>44477</v>
      </c>
      <c r="E368" s="7">
        <v>110</v>
      </c>
      <c r="F368" s="2" t="s">
        <v>4</v>
      </c>
      <c r="G368" s="1">
        <v>22</v>
      </c>
      <c r="H368" s="6">
        <v>88</v>
      </c>
      <c r="I368" s="1">
        <v>9</v>
      </c>
      <c r="J368" s="116" t="str">
        <f t="shared" si="5"/>
        <v>평일</v>
      </c>
    </row>
    <row r="369" spans="1:10" ht="21.75" hidden="1" customHeight="1" x14ac:dyDescent="0.25">
      <c r="A369" s="2">
        <v>2021</v>
      </c>
      <c r="B369" s="2">
        <v>10</v>
      </c>
      <c r="C369" s="2" t="s">
        <v>159</v>
      </c>
      <c r="D369" s="3">
        <v>44478</v>
      </c>
      <c r="E369" s="7">
        <v>344</v>
      </c>
      <c r="F369" s="2" t="s">
        <v>4</v>
      </c>
      <c r="G369" s="1">
        <v>59</v>
      </c>
      <c r="H369" s="6">
        <v>285</v>
      </c>
      <c r="I369" s="1">
        <v>10</v>
      </c>
      <c r="J369" s="116" t="str">
        <f t="shared" si="5"/>
        <v>주말</v>
      </c>
    </row>
    <row r="370" spans="1:10" ht="21.75" hidden="1" customHeight="1" x14ac:dyDescent="0.25">
      <c r="A370" s="2">
        <v>2021</v>
      </c>
      <c r="B370" s="2">
        <v>10</v>
      </c>
      <c r="C370" s="2" t="s">
        <v>160</v>
      </c>
      <c r="D370" s="3">
        <v>44479</v>
      </c>
      <c r="E370" s="7">
        <v>356</v>
      </c>
      <c r="F370" s="2" t="s">
        <v>4</v>
      </c>
      <c r="G370" s="1">
        <v>51</v>
      </c>
      <c r="H370" s="6">
        <v>305</v>
      </c>
      <c r="I370" s="1">
        <v>11</v>
      </c>
      <c r="J370" s="116" t="str">
        <f t="shared" si="5"/>
        <v>주말</v>
      </c>
    </row>
    <row r="371" spans="1:10" ht="21.75" hidden="1" customHeight="1" x14ac:dyDescent="0.25">
      <c r="A371" s="2">
        <v>2021</v>
      </c>
      <c r="B371" s="2">
        <v>10</v>
      </c>
      <c r="C371" s="2" t="s">
        <v>161</v>
      </c>
      <c r="D371" s="3">
        <v>44480</v>
      </c>
      <c r="E371" s="7">
        <v>225</v>
      </c>
      <c r="F371" s="2" t="s">
        <v>4</v>
      </c>
      <c r="G371" s="1">
        <v>40</v>
      </c>
      <c r="H371" s="6">
        <v>185</v>
      </c>
      <c r="I371" s="1">
        <v>12</v>
      </c>
      <c r="J371" s="116" t="str">
        <f t="shared" si="5"/>
        <v>평일</v>
      </c>
    </row>
    <row r="372" spans="1:10" ht="21.75" hidden="1" customHeight="1" x14ac:dyDescent="0.25">
      <c r="A372" s="2">
        <v>2021</v>
      </c>
      <c r="B372" s="2">
        <v>10</v>
      </c>
      <c r="C372" s="2" t="s">
        <v>162</v>
      </c>
      <c r="D372" s="3">
        <v>44481</v>
      </c>
      <c r="E372" s="7">
        <v>38</v>
      </c>
      <c r="F372" s="2" t="s">
        <v>4</v>
      </c>
      <c r="G372" s="1">
        <v>4</v>
      </c>
      <c r="H372" s="6">
        <v>34</v>
      </c>
      <c r="I372" s="1">
        <v>13</v>
      </c>
      <c r="J372" s="116" t="str">
        <f t="shared" si="5"/>
        <v>평일</v>
      </c>
    </row>
    <row r="373" spans="1:10" ht="21.75" hidden="1" customHeight="1" x14ac:dyDescent="0.25">
      <c r="A373" s="2">
        <v>2021</v>
      </c>
      <c r="B373" s="2">
        <v>10</v>
      </c>
      <c r="C373" s="2" t="s">
        <v>163</v>
      </c>
      <c r="D373" s="3">
        <v>44482</v>
      </c>
      <c r="E373" s="7">
        <v>72</v>
      </c>
      <c r="F373" s="2" t="s">
        <v>4</v>
      </c>
      <c r="G373" s="1">
        <v>20</v>
      </c>
      <c r="H373" s="6">
        <v>52</v>
      </c>
      <c r="I373" s="1">
        <v>14</v>
      </c>
      <c r="J373" s="116" t="str">
        <f t="shared" si="5"/>
        <v>평일</v>
      </c>
    </row>
    <row r="374" spans="1:10" ht="21.75" hidden="1" customHeight="1" x14ac:dyDescent="0.25">
      <c r="A374" s="2">
        <v>2021</v>
      </c>
      <c r="B374" s="2">
        <v>10</v>
      </c>
      <c r="C374" s="2" t="s">
        <v>157</v>
      </c>
      <c r="D374" s="3">
        <v>44483</v>
      </c>
      <c r="E374" s="7">
        <v>44</v>
      </c>
      <c r="F374" s="2" t="s">
        <v>4</v>
      </c>
      <c r="G374" s="1">
        <v>6</v>
      </c>
      <c r="H374" s="6">
        <v>38</v>
      </c>
      <c r="I374" s="1">
        <v>15</v>
      </c>
      <c r="J374" s="116" t="str">
        <f t="shared" si="5"/>
        <v>평일</v>
      </c>
    </row>
    <row r="375" spans="1:10" ht="21.75" hidden="1" customHeight="1" x14ac:dyDescent="0.25">
      <c r="A375" s="2">
        <v>2021</v>
      </c>
      <c r="B375" s="2">
        <v>10</v>
      </c>
      <c r="C375" s="2" t="s">
        <v>158</v>
      </c>
      <c r="D375" s="3">
        <v>44484</v>
      </c>
      <c r="E375" s="7">
        <v>82</v>
      </c>
      <c r="F375" s="2" t="s">
        <v>4</v>
      </c>
      <c r="G375" s="1">
        <v>17</v>
      </c>
      <c r="H375" s="6">
        <v>65</v>
      </c>
      <c r="I375" s="1">
        <v>16</v>
      </c>
      <c r="J375" s="116" t="str">
        <f t="shared" si="5"/>
        <v>평일</v>
      </c>
    </row>
    <row r="376" spans="1:10" ht="21.75" hidden="1" customHeight="1" x14ac:dyDescent="0.25">
      <c r="A376" s="2">
        <v>2021</v>
      </c>
      <c r="B376" s="2">
        <v>10</v>
      </c>
      <c r="C376" s="2" t="s">
        <v>159</v>
      </c>
      <c r="D376" s="3">
        <v>44485</v>
      </c>
      <c r="E376" s="7">
        <v>331</v>
      </c>
      <c r="F376" s="2" t="s">
        <v>4</v>
      </c>
      <c r="G376" s="1">
        <v>55</v>
      </c>
      <c r="H376" s="6">
        <v>276</v>
      </c>
      <c r="I376" s="1">
        <v>17</v>
      </c>
      <c r="J376" s="116" t="str">
        <f t="shared" si="5"/>
        <v>주말</v>
      </c>
    </row>
    <row r="377" spans="1:10" ht="21.75" hidden="1" customHeight="1" x14ac:dyDescent="0.25">
      <c r="A377" s="2">
        <v>2021</v>
      </c>
      <c r="B377" s="2">
        <v>10</v>
      </c>
      <c r="C377" s="2" t="s">
        <v>160</v>
      </c>
      <c r="D377" s="3">
        <v>44486</v>
      </c>
      <c r="E377" s="7">
        <v>265</v>
      </c>
      <c r="F377" s="2" t="s">
        <v>4</v>
      </c>
      <c r="G377" s="1">
        <v>28</v>
      </c>
      <c r="H377" s="6">
        <v>237</v>
      </c>
      <c r="I377" s="1">
        <v>18</v>
      </c>
      <c r="J377" s="116" t="str">
        <f t="shared" si="5"/>
        <v>주말</v>
      </c>
    </row>
    <row r="378" spans="1:10" ht="21.75" hidden="1" customHeight="1" x14ac:dyDescent="0.25">
      <c r="A378" s="2">
        <v>2021</v>
      </c>
      <c r="B378" s="2">
        <v>10</v>
      </c>
      <c r="C378" s="2" t="s">
        <v>161</v>
      </c>
      <c r="D378" s="3">
        <v>44487</v>
      </c>
      <c r="E378" s="7">
        <v>0</v>
      </c>
      <c r="F378" s="2" t="s">
        <v>4</v>
      </c>
      <c r="G378" s="1">
        <v>0</v>
      </c>
      <c r="H378" s="6">
        <v>0</v>
      </c>
      <c r="I378" s="1">
        <v>19</v>
      </c>
      <c r="J378" s="116" t="str">
        <f t="shared" si="5"/>
        <v>평일</v>
      </c>
    </row>
    <row r="379" spans="1:10" ht="21.75" hidden="1" customHeight="1" x14ac:dyDescent="0.25">
      <c r="A379" s="2">
        <v>2021</v>
      </c>
      <c r="B379" s="2">
        <v>10</v>
      </c>
      <c r="C379" s="2" t="s">
        <v>162</v>
      </c>
      <c r="D379" s="3">
        <v>44488</v>
      </c>
      <c r="E379" s="7">
        <v>60</v>
      </c>
      <c r="F379" s="2" t="s">
        <v>4</v>
      </c>
      <c r="G379" s="1">
        <v>11</v>
      </c>
      <c r="H379" s="6">
        <v>49</v>
      </c>
      <c r="I379" s="1">
        <v>20</v>
      </c>
      <c r="J379" s="116" t="str">
        <f t="shared" si="5"/>
        <v>평일</v>
      </c>
    </row>
    <row r="380" spans="1:10" ht="21.75" hidden="1" customHeight="1" x14ac:dyDescent="0.25">
      <c r="A380" s="2">
        <v>2021</v>
      </c>
      <c r="B380" s="2">
        <v>10</v>
      </c>
      <c r="C380" s="2" t="s">
        <v>163</v>
      </c>
      <c r="D380" s="3">
        <v>44489</v>
      </c>
      <c r="E380" s="7">
        <v>65</v>
      </c>
      <c r="F380" s="2" t="s">
        <v>4</v>
      </c>
      <c r="G380" s="1">
        <v>16</v>
      </c>
      <c r="H380" s="6">
        <v>49</v>
      </c>
      <c r="I380" s="1">
        <v>21</v>
      </c>
      <c r="J380" s="116" t="str">
        <f t="shared" si="5"/>
        <v>평일</v>
      </c>
    </row>
    <row r="381" spans="1:10" ht="21.75" hidden="1" customHeight="1" x14ac:dyDescent="0.25">
      <c r="A381" s="2">
        <v>2021</v>
      </c>
      <c r="B381" s="2">
        <v>10</v>
      </c>
      <c r="C381" s="2" t="s">
        <v>157</v>
      </c>
      <c r="D381" s="3">
        <v>44490</v>
      </c>
      <c r="E381" s="7">
        <v>64</v>
      </c>
      <c r="F381" s="2" t="s">
        <v>4</v>
      </c>
      <c r="G381" s="1">
        <v>26</v>
      </c>
      <c r="H381" s="6">
        <v>38</v>
      </c>
      <c r="I381" s="1">
        <v>22</v>
      </c>
      <c r="J381" s="116" t="str">
        <f t="shared" si="5"/>
        <v>평일</v>
      </c>
    </row>
    <row r="382" spans="1:10" ht="21.75" hidden="1" customHeight="1" x14ac:dyDescent="0.25">
      <c r="A382" s="2">
        <v>2021</v>
      </c>
      <c r="B382" s="2">
        <v>10</v>
      </c>
      <c r="C382" s="2" t="s">
        <v>158</v>
      </c>
      <c r="D382" s="3">
        <v>44491</v>
      </c>
      <c r="E382" s="7">
        <v>110</v>
      </c>
      <c r="F382" s="2" t="s">
        <v>4</v>
      </c>
      <c r="G382" s="1">
        <v>23</v>
      </c>
      <c r="H382" s="6">
        <v>87</v>
      </c>
      <c r="I382" s="1">
        <v>23</v>
      </c>
      <c r="J382" s="116" t="str">
        <f t="shared" si="5"/>
        <v>평일</v>
      </c>
    </row>
    <row r="383" spans="1:10" ht="21.75" hidden="1" customHeight="1" x14ac:dyDescent="0.25">
      <c r="A383" s="2">
        <v>2021</v>
      </c>
      <c r="B383" s="2">
        <v>10</v>
      </c>
      <c r="C383" s="2" t="s">
        <v>159</v>
      </c>
      <c r="D383" s="3">
        <v>44492</v>
      </c>
      <c r="E383" s="7">
        <v>320</v>
      </c>
      <c r="F383" s="2" t="s">
        <v>4</v>
      </c>
      <c r="G383" s="1">
        <v>55</v>
      </c>
      <c r="H383" s="6">
        <v>265</v>
      </c>
      <c r="I383" s="1">
        <v>24</v>
      </c>
      <c r="J383" s="116" t="str">
        <f t="shared" si="5"/>
        <v>주말</v>
      </c>
    </row>
    <row r="384" spans="1:10" ht="21.75" hidden="1" customHeight="1" x14ac:dyDescent="0.25">
      <c r="A384" s="2">
        <v>2021</v>
      </c>
      <c r="B384" s="2">
        <v>10</v>
      </c>
      <c r="C384" s="2" t="s">
        <v>160</v>
      </c>
      <c r="D384" s="3">
        <v>44493</v>
      </c>
      <c r="E384" s="7">
        <v>280</v>
      </c>
      <c r="F384" s="2" t="s">
        <v>4</v>
      </c>
      <c r="G384" s="1">
        <v>49</v>
      </c>
      <c r="H384" s="6">
        <v>231</v>
      </c>
      <c r="I384" s="1">
        <v>25</v>
      </c>
      <c r="J384" s="116" t="str">
        <f t="shared" si="5"/>
        <v>주말</v>
      </c>
    </row>
    <row r="385" spans="1:10" ht="21.75" hidden="1" customHeight="1" x14ac:dyDescent="0.25">
      <c r="A385" s="2">
        <v>2021</v>
      </c>
      <c r="B385" s="2">
        <v>10</v>
      </c>
      <c r="C385" s="2" t="s">
        <v>161</v>
      </c>
      <c r="D385" s="3">
        <v>44494</v>
      </c>
      <c r="E385" s="7">
        <v>78</v>
      </c>
      <c r="F385" s="2" t="s">
        <v>4</v>
      </c>
      <c r="G385" s="1">
        <v>14</v>
      </c>
      <c r="H385" s="6">
        <v>64</v>
      </c>
      <c r="I385" s="1">
        <v>26</v>
      </c>
      <c r="J385" s="116" t="str">
        <f t="shared" si="5"/>
        <v>평일</v>
      </c>
    </row>
    <row r="386" spans="1:10" ht="21.75" hidden="1" customHeight="1" x14ac:dyDescent="0.25">
      <c r="A386" s="2">
        <v>2021</v>
      </c>
      <c r="B386" s="2">
        <v>10</v>
      </c>
      <c r="C386" s="2" t="s">
        <v>162</v>
      </c>
      <c r="D386" s="3">
        <v>44495</v>
      </c>
      <c r="E386" s="7">
        <v>54</v>
      </c>
      <c r="F386" s="2" t="s">
        <v>4</v>
      </c>
      <c r="G386" s="1">
        <v>18</v>
      </c>
      <c r="H386" s="6">
        <v>36</v>
      </c>
      <c r="I386" s="1">
        <v>27</v>
      </c>
      <c r="J386" s="116" t="str">
        <f t="shared" si="5"/>
        <v>평일</v>
      </c>
    </row>
    <row r="387" spans="1:10" ht="21.75" hidden="1" customHeight="1" x14ac:dyDescent="0.25">
      <c r="A387" s="2">
        <v>2021</v>
      </c>
      <c r="B387" s="2">
        <v>10</v>
      </c>
      <c r="C387" s="2" t="s">
        <v>163</v>
      </c>
      <c r="D387" s="3">
        <v>44496</v>
      </c>
      <c r="E387" s="7">
        <v>176</v>
      </c>
      <c r="F387" s="2" t="s">
        <v>4</v>
      </c>
      <c r="G387" s="1">
        <v>14</v>
      </c>
      <c r="H387" s="6">
        <v>162</v>
      </c>
      <c r="I387" s="1">
        <v>28</v>
      </c>
      <c r="J387" s="116" t="str">
        <f t="shared" ref="J387:J450" si="6">+IF(OR(C387="토",C387="일"),"주말","평일")</f>
        <v>평일</v>
      </c>
    </row>
    <row r="388" spans="1:10" ht="21.75" hidden="1" customHeight="1" x14ac:dyDescent="0.25">
      <c r="A388" s="2">
        <v>2021</v>
      </c>
      <c r="B388" s="2">
        <v>10</v>
      </c>
      <c r="C388" s="2" t="s">
        <v>157</v>
      </c>
      <c r="D388" s="3">
        <v>44497</v>
      </c>
      <c r="E388" s="7">
        <v>55</v>
      </c>
      <c r="F388" s="2" t="s">
        <v>4</v>
      </c>
      <c r="G388" s="1">
        <v>9</v>
      </c>
      <c r="H388" s="6">
        <v>46</v>
      </c>
      <c r="I388" s="1">
        <v>29</v>
      </c>
      <c r="J388" s="116" t="str">
        <f t="shared" si="6"/>
        <v>평일</v>
      </c>
    </row>
    <row r="389" spans="1:10" ht="21.75" hidden="1" customHeight="1" x14ac:dyDescent="0.25">
      <c r="A389" s="2">
        <v>2021</v>
      </c>
      <c r="B389" s="2">
        <v>10</v>
      </c>
      <c r="C389" s="2" t="s">
        <v>158</v>
      </c>
      <c r="D389" s="3">
        <v>44498</v>
      </c>
      <c r="E389" s="7">
        <v>134</v>
      </c>
      <c r="F389" s="2" t="s">
        <v>4</v>
      </c>
      <c r="G389" s="1">
        <v>37</v>
      </c>
      <c r="H389" s="6">
        <v>97</v>
      </c>
      <c r="I389" s="1">
        <v>30</v>
      </c>
      <c r="J389" s="116" t="str">
        <f t="shared" si="6"/>
        <v>평일</v>
      </c>
    </row>
    <row r="390" spans="1:10" ht="21.75" hidden="1" customHeight="1" x14ac:dyDescent="0.25">
      <c r="A390" s="2">
        <v>2021</v>
      </c>
      <c r="B390" s="2">
        <v>10</v>
      </c>
      <c r="C390" s="2" t="s">
        <v>159</v>
      </c>
      <c r="D390" s="3">
        <v>44499</v>
      </c>
      <c r="E390" s="7">
        <v>349</v>
      </c>
      <c r="F390" s="2" t="s">
        <v>4</v>
      </c>
      <c r="G390" s="1">
        <v>57</v>
      </c>
      <c r="H390" s="6">
        <v>292</v>
      </c>
      <c r="I390" s="1">
        <v>31</v>
      </c>
      <c r="J390" s="116" t="str">
        <f t="shared" si="6"/>
        <v>주말</v>
      </c>
    </row>
    <row r="391" spans="1:10" ht="21.75" hidden="1" customHeight="1" x14ac:dyDescent="0.25">
      <c r="A391" s="2">
        <v>2021</v>
      </c>
      <c r="B391" s="2">
        <v>10</v>
      </c>
      <c r="C391" s="2" t="s">
        <v>160</v>
      </c>
      <c r="D391" s="3">
        <v>44500</v>
      </c>
      <c r="E391" s="7">
        <v>407</v>
      </c>
      <c r="F391" s="2" t="s">
        <v>4</v>
      </c>
      <c r="G391" s="1">
        <v>63</v>
      </c>
      <c r="H391" s="6">
        <v>344</v>
      </c>
      <c r="I391" s="1">
        <v>32</v>
      </c>
      <c r="J391" s="116" t="str">
        <f t="shared" si="6"/>
        <v>주말</v>
      </c>
    </row>
    <row r="392" spans="1:10" ht="21.75" hidden="1" customHeight="1" x14ac:dyDescent="0.25">
      <c r="A392" s="2">
        <v>2021</v>
      </c>
      <c r="B392" s="2">
        <v>11</v>
      </c>
      <c r="C392" s="2" t="s">
        <v>161</v>
      </c>
      <c r="D392" s="3">
        <v>44501</v>
      </c>
      <c r="E392" s="7">
        <v>60</v>
      </c>
      <c r="F392" s="2" t="s">
        <v>4</v>
      </c>
      <c r="G392" s="1">
        <v>9</v>
      </c>
      <c r="H392" s="6">
        <v>51</v>
      </c>
      <c r="I392" s="1">
        <v>33</v>
      </c>
      <c r="J392" s="116" t="str">
        <f t="shared" si="6"/>
        <v>평일</v>
      </c>
    </row>
    <row r="393" spans="1:10" ht="21.75" hidden="1" customHeight="1" x14ac:dyDescent="0.25">
      <c r="A393" s="2">
        <v>2021</v>
      </c>
      <c r="B393" s="2">
        <v>11</v>
      </c>
      <c r="C393" s="2" t="s">
        <v>162</v>
      </c>
      <c r="D393" s="3">
        <v>44502</v>
      </c>
      <c r="E393" s="7">
        <v>61</v>
      </c>
      <c r="F393" s="2" t="s">
        <v>4</v>
      </c>
      <c r="G393" s="1">
        <v>10</v>
      </c>
      <c r="H393" s="6">
        <v>51</v>
      </c>
      <c r="I393" s="1">
        <v>34</v>
      </c>
      <c r="J393" s="116" t="str">
        <f t="shared" si="6"/>
        <v>평일</v>
      </c>
    </row>
    <row r="394" spans="1:10" ht="21.75" hidden="1" customHeight="1" x14ac:dyDescent="0.25">
      <c r="A394" s="2">
        <v>2021</v>
      </c>
      <c r="B394" s="2">
        <v>11</v>
      </c>
      <c r="C394" s="2" t="s">
        <v>163</v>
      </c>
      <c r="D394" s="3">
        <v>44503</v>
      </c>
      <c r="E394" s="7">
        <v>96</v>
      </c>
      <c r="F394" s="2" t="s">
        <v>4</v>
      </c>
      <c r="G394" s="1">
        <v>26</v>
      </c>
      <c r="H394" s="6">
        <v>70</v>
      </c>
      <c r="I394" s="1">
        <v>35</v>
      </c>
      <c r="J394" s="116" t="str">
        <f t="shared" si="6"/>
        <v>평일</v>
      </c>
    </row>
    <row r="395" spans="1:10" ht="21.75" hidden="1" customHeight="1" x14ac:dyDescent="0.25">
      <c r="A395" s="2">
        <v>2021</v>
      </c>
      <c r="B395" s="2">
        <v>11</v>
      </c>
      <c r="C395" s="2" t="s">
        <v>157</v>
      </c>
      <c r="D395" s="3">
        <v>44504</v>
      </c>
      <c r="E395" s="7">
        <v>85</v>
      </c>
      <c r="F395" s="2" t="s">
        <v>4</v>
      </c>
      <c r="G395" s="1">
        <v>9</v>
      </c>
      <c r="H395" s="6">
        <v>76</v>
      </c>
      <c r="I395" s="1">
        <v>36</v>
      </c>
      <c r="J395" s="116" t="str">
        <f t="shared" si="6"/>
        <v>평일</v>
      </c>
    </row>
    <row r="396" spans="1:10" ht="21.75" hidden="1" customHeight="1" x14ac:dyDescent="0.25">
      <c r="A396" s="2">
        <v>2021</v>
      </c>
      <c r="B396" s="2">
        <v>11</v>
      </c>
      <c r="C396" s="2" t="s">
        <v>158</v>
      </c>
      <c r="D396" s="3">
        <v>44505</v>
      </c>
      <c r="E396" s="7">
        <v>155</v>
      </c>
      <c r="F396" s="2" t="s">
        <v>4</v>
      </c>
      <c r="G396" s="1">
        <v>30</v>
      </c>
      <c r="H396" s="6">
        <v>125</v>
      </c>
      <c r="I396" s="1">
        <v>37</v>
      </c>
      <c r="J396" s="116" t="str">
        <f t="shared" si="6"/>
        <v>평일</v>
      </c>
    </row>
    <row r="397" spans="1:10" ht="21.75" hidden="1" customHeight="1" x14ac:dyDescent="0.25">
      <c r="A397" s="2">
        <v>2021</v>
      </c>
      <c r="B397" s="2">
        <v>11</v>
      </c>
      <c r="C397" s="2" t="s">
        <v>159</v>
      </c>
      <c r="D397" s="3">
        <v>44506</v>
      </c>
      <c r="E397" s="7">
        <v>372</v>
      </c>
      <c r="F397" s="2" t="s">
        <v>4</v>
      </c>
      <c r="G397" s="1">
        <v>58</v>
      </c>
      <c r="H397" s="6">
        <v>314</v>
      </c>
      <c r="I397" s="1">
        <v>38</v>
      </c>
      <c r="J397" s="116" t="str">
        <f t="shared" si="6"/>
        <v>주말</v>
      </c>
    </row>
    <row r="398" spans="1:10" ht="21.75" hidden="1" customHeight="1" x14ac:dyDescent="0.25">
      <c r="A398" s="2">
        <v>2021</v>
      </c>
      <c r="B398" s="2">
        <v>11</v>
      </c>
      <c r="C398" s="2" t="s">
        <v>160</v>
      </c>
      <c r="D398" s="3">
        <v>44507</v>
      </c>
      <c r="E398" s="7">
        <v>355</v>
      </c>
      <c r="F398" s="2" t="s">
        <v>4</v>
      </c>
      <c r="G398" s="1">
        <v>56</v>
      </c>
      <c r="H398" s="6">
        <v>299</v>
      </c>
      <c r="I398" s="1">
        <v>39</v>
      </c>
      <c r="J398" s="116" t="str">
        <f t="shared" si="6"/>
        <v>주말</v>
      </c>
    </row>
    <row r="399" spans="1:10" ht="21.75" hidden="1" customHeight="1" x14ac:dyDescent="0.25">
      <c r="A399" s="2">
        <v>2021</v>
      </c>
      <c r="B399" s="2">
        <v>11</v>
      </c>
      <c r="C399" s="2" t="s">
        <v>161</v>
      </c>
      <c r="D399" s="3">
        <v>44508</v>
      </c>
      <c r="E399" s="7">
        <v>0</v>
      </c>
      <c r="F399" s="2" t="s">
        <v>4</v>
      </c>
      <c r="G399" s="1">
        <v>0</v>
      </c>
      <c r="H399" s="6">
        <v>0</v>
      </c>
      <c r="I399" s="1">
        <v>40</v>
      </c>
      <c r="J399" s="116" t="str">
        <f t="shared" si="6"/>
        <v>평일</v>
      </c>
    </row>
    <row r="400" spans="1:10" ht="21.75" hidden="1" customHeight="1" x14ac:dyDescent="0.25">
      <c r="A400" s="2">
        <v>2021</v>
      </c>
      <c r="B400" s="2">
        <v>11</v>
      </c>
      <c r="C400" s="2" t="s">
        <v>162</v>
      </c>
      <c r="D400" s="3">
        <v>44509</v>
      </c>
      <c r="E400" s="7">
        <v>106</v>
      </c>
      <c r="F400" s="2" t="s">
        <v>4</v>
      </c>
      <c r="G400" s="1">
        <v>10</v>
      </c>
      <c r="H400" s="6">
        <v>96</v>
      </c>
      <c r="I400" s="1">
        <v>41</v>
      </c>
      <c r="J400" s="116" t="str">
        <f t="shared" si="6"/>
        <v>평일</v>
      </c>
    </row>
    <row r="401" spans="1:10" ht="21.75" hidden="1" customHeight="1" x14ac:dyDescent="0.25">
      <c r="A401" s="2">
        <v>2021</v>
      </c>
      <c r="B401" s="2">
        <v>11</v>
      </c>
      <c r="C401" s="2" t="s">
        <v>163</v>
      </c>
      <c r="D401" s="3">
        <v>44510</v>
      </c>
      <c r="E401" s="7">
        <v>157</v>
      </c>
      <c r="F401" s="2" t="s">
        <v>4</v>
      </c>
      <c r="G401" s="1">
        <v>13</v>
      </c>
      <c r="H401" s="6">
        <v>144</v>
      </c>
      <c r="I401" s="1">
        <v>42</v>
      </c>
      <c r="J401" s="116" t="str">
        <f t="shared" si="6"/>
        <v>평일</v>
      </c>
    </row>
    <row r="402" spans="1:10" ht="21.75" hidden="1" customHeight="1" x14ac:dyDescent="0.25">
      <c r="A402" s="2">
        <v>2021</v>
      </c>
      <c r="B402" s="2">
        <v>11</v>
      </c>
      <c r="C402" s="2" t="s">
        <v>157</v>
      </c>
      <c r="D402" s="3">
        <v>44511</v>
      </c>
      <c r="E402" s="7">
        <v>133</v>
      </c>
      <c r="F402" s="2" t="s">
        <v>4</v>
      </c>
      <c r="G402" s="1">
        <v>20</v>
      </c>
      <c r="H402" s="6">
        <v>113</v>
      </c>
      <c r="I402" s="1">
        <v>43</v>
      </c>
      <c r="J402" s="116" t="str">
        <f t="shared" si="6"/>
        <v>평일</v>
      </c>
    </row>
    <row r="403" spans="1:10" ht="21.75" hidden="1" customHeight="1" x14ac:dyDescent="0.25">
      <c r="A403" s="2">
        <v>2021</v>
      </c>
      <c r="B403" s="2">
        <v>11</v>
      </c>
      <c r="C403" s="2" t="s">
        <v>158</v>
      </c>
      <c r="D403" s="3">
        <v>44512</v>
      </c>
      <c r="E403" s="7">
        <v>177</v>
      </c>
      <c r="F403" s="2" t="s">
        <v>4</v>
      </c>
      <c r="G403" s="1">
        <v>20</v>
      </c>
      <c r="H403" s="6">
        <v>157</v>
      </c>
      <c r="I403" s="1">
        <v>44</v>
      </c>
      <c r="J403" s="116" t="str">
        <f t="shared" si="6"/>
        <v>평일</v>
      </c>
    </row>
    <row r="404" spans="1:10" ht="21.75" hidden="1" customHeight="1" x14ac:dyDescent="0.25">
      <c r="A404" s="2">
        <v>2021</v>
      </c>
      <c r="B404" s="2">
        <v>11</v>
      </c>
      <c r="C404" s="2" t="s">
        <v>159</v>
      </c>
      <c r="D404" s="3">
        <v>44513</v>
      </c>
      <c r="E404" s="7">
        <v>465</v>
      </c>
      <c r="F404" s="2" t="s">
        <v>4</v>
      </c>
      <c r="G404" s="1">
        <v>51</v>
      </c>
      <c r="H404" s="6">
        <v>414</v>
      </c>
      <c r="I404" s="1">
        <v>45</v>
      </c>
      <c r="J404" s="116" t="str">
        <f t="shared" si="6"/>
        <v>주말</v>
      </c>
    </row>
    <row r="405" spans="1:10" ht="21.75" hidden="1" customHeight="1" x14ac:dyDescent="0.25">
      <c r="A405" s="2">
        <v>2021</v>
      </c>
      <c r="B405" s="2">
        <v>11</v>
      </c>
      <c r="C405" s="2" t="s">
        <v>160</v>
      </c>
      <c r="D405" s="3">
        <v>44514</v>
      </c>
      <c r="E405" s="7">
        <v>361</v>
      </c>
      <c r="F405" s="2" t="s">
        <v>4</v>
      </c>
      <c r="G405" s="1">
        <v>61</v>
      </c>
      <c r="H405" s="6">
        <v>300</v>
      </c>
      <c r="I405" s="1">
        <v>46</v>
      </c>
      <c r="J405" s="116" t="str">
        <f t="shared" si="6"/>
        <v>주말</v>
      </c>
    </row>
    <row r="406" spans="1:10" ht="21.75" hidden="1" customHeight="1" x14ac:dyDescent="0.25">
      <c r="A406" s="2">
        <v>2021</v>
      </c>
      <c r="B406" s="2">
        <v>11</v>
      </c>
      <c r="C406" s="2" t="s">
        <v>161</v>
      </c>
      <c r="D406" s="3">
        <v>44515</v>
      </c>
      <c r="E406" s="7">
        <v>123</v>
      </c>
      <c r="F406" s="2" t="s">
        <v>4</v>
      </c>
      <c r="G406" s="1">
        <v>18</v>
      </c>
      <c r="H406" s="6">
        <v>105</v>
      </c>
      <c r="I406" s="1">
        <v>47</v>
      </c>
      <c r="J406" s="116" t="str">
        <f t="shared" si="6"/>
        <v>평일</v>
      </c>
    </row>
    <row r="407" spans="1:10" ht="21.75" hidden="1" customHeight="1" x14ac:dyDescent="0.25">
      <c r="A407" s="2">
        <v>2021</v>
      </c>
      <c r="B407" s="2">
        <v>11</v>
      </c>
      <c r="C407" s="2" t="s">
        <v>162</v>
      </c>
      <c r="D407" s="3">
        <v>44516</v>
      </c>
      <c r="E407" s="7">
        <v>121</v>
      </c>
      <c r="F407" s="2" t="s">
        <v>4</v>
      </c>
      <c r="G407" s="1">
        <v>27</v>
      </c>
      <c r="H407" s="6">
        <v>94</v>
      </c>
      <c r="I407" s="1">
        <v>48</v>
      </c>
      <c r="J407" s="116" t="str">
        <f t="shared" si="6"/>
        <v>평일</v>
      </c>
    </row>
    <row r="408" spans="1:10" ht="21.75" hidden="1" customHeight="1" x14ac:dyDescent="0.25">
      <c r="A408" s="2">
        <v>2021</v>
      </c>
      <c r="B408" s="2">
        <v>11</v>
      </c>
      <c r="C408" s="2" t="s">
        <v>163</v>
      </c>
      <c r="D408" s="3">
        <v>44517</v>
      </c>
      <c r="E408" s="7">
        <v>118</v>
      </c>
      <c r="F408" s="2" t="s">
        <v>4</v>
      </c>
      <c r="G408" s="1">
        <v>11</v>
      </c>
      <c r="H408" s="6">
        <v>107</v>
      </c>
      <c r="I408" s="1">
        <v>49</v>
      </c>
      <c r="J408" s="116" t="str">
        <f t="shared" si="6"/>
        <v>평일</v>
      </c>
    </row>
    <row r="409" spans="1:10" ht="21.75" hidden="1" customHeight="1" x14ac:dyDescent="0.25">
      <c r="A409" s="2">
        <v>2021</v>
      </c>
      <c r="B409" s="2">
        <v>11</v>
      </c>
      <c r="C409" s="2" t="s">
        <v>157</v>
      </c>
      <c r="D409" s="3">
        <v>44518</v>
      </c>
      <c r="E409" s="7">
        <v>127</v>
      </c>
      <c r="F409" s="2" t="s">
        <v>4</v>
      </c>
      <c r="G409" s="1">
        <v>9</v>
      </c>
      <c r="H409" s="6">
        <v>118</v>
      </c>
      <c r="I409" s="1">
        <v>50</v>
      </c>
      <c r="J409" s="116" t="str">
        <f t="shared" si="6"/>
        <v>평일</v>
      </c>
    </row>
    <row r="410" spans="1:10" ht="21.75" hidden="1" customHeight="1" x14ac:dyDescent="0.25">
      <c r="A410" s="2">
        <v>2021</v>
      </c>
      <c r="B410" s="2">
        <v>11</v>
      </c>
      <c r="C410" s="2" t="s">
        <v>158</v>
      </c>
      <c r="D410" s="3">
        <v>44519</v>
      </c>
      <c r="E410" s="7">
        <v>244</v>
      </c>
      <c r="F410" s="2" t="s">
        <v>4</v>
      </c>
      <c r="G410" s="1">
        <v>37</v>
      </c>
      <c r="H410" s="6">
        <v>207</v>
      </c>
      <c r="I410" s="1">
        <v>51</v>
      </c>
      <c r="J410" s="116" t="str">
        <f t="shared" si="6"/>
        <v>평일</v>
      </c>
    </row>
    <row r="411" spans="1:10" ht="21.75" hidden="1" customHeight="1" x14ac:dyDescent="0.25">
      <c r="A411" s="2">
        <v>2021</v>
      </c>
      <c r="B411" s="2">
        <v>11</v>
      </c>
      <c r="C411" s="2" t="s">
        <v>159</v>
      </c>
      <c r="D411" s="3">
        <v>44520</v>
      </c>
      <c r="E411" s="7">
        <v>569</v>
      </c>
      <c r="F411" s="2" t="s">
        <v>4</v>
      </c>
      <c r="G411" s="1">
        <v>61</v>
      </c>
      <c r="H411" s="6">
        <v>508</v>
      </c>
      <c r="I411" s="1">
        <v>52</v>
      </c>
      <c r="J411" s="116" t="str">
        <f t="shared" si="6"/>
        <v>주말</v>
      </c>
    </row>
    <row r="412" spans="1:10" ht="21.75" hidden="1" customHeight="1" x14ac:dyDescent="0.25">
      <c r="A412" s="2">
        <v>2021</v>
      </c>
      <c r="B412" s="2">
        <v>11</v>
      </c>
      <c r="C412" s="2" t="s">
        <v>160</v>
      </c>
      <c r="D412" s="3">
        <v>44521</v>
      </c>
      <c r="E412" s="7">
        <v>527</v>
      </c>
      <c r="F412" s="2" t="s">
        <v>4</v>
      </c>
      <c r="G412" s="1">
        <v>60</v>
      </c>
      <c r="H412" s="6">
        <v>467</v>
      </c>
      <c r="I412" s="1">
        <v>53</v>
      </c>
      <c r="J412" s="116" t="str">
        <f t="shared" si="6"/>
        <v>주말</v>
      </c>
    </row>
    <row r="413" spans="1:10" ht="21.75" hidden="1" customHeight="1" x14ac:dyDescent="0.25">
      <c r="A413" s="2">
        <v>2021</v>
      </c>
      <c r="B413" s="2">
        <v>11</v>
      </c>
      <c r="C413" s="2" t="s">
        <v>161</v>
      </c>
      <c r="D413" s="3">
        <v>44522</v>
      </c>
      <c r="E413" s="7">
        <v>124</v>
      </c>
      <c r="F413" s="2" t="s">
        <v>4</v>
      </c>
      <c r="G413" s="1">
        <v>23</v>
      </c>
      <c r="H413" s="6">
        <v>101</v>
      </c>
      <c r="I413" s="1">
        <v>54</v>
      </c>
      <c r="J413" s="116" t="str">
        <f t="shared" si="6"/>
        <v>평일</v>
      </c>
    </row>
    <row r="414" spans="1:10" ht="21.75" hidden="1" customHeight="1" x14ac:dyDescent="0.25">
      <c r="A414" s="2">
        <v>2021</v>
      </c>
      <c r="B414" s="2">
        <v>11</v>
      </c>
      <c r="C414" s="2" t="s">
        <v>162</v>
      </c>
      <c r="D414" s="3">
        <v>44523</v>
      </c>
      <c r="E414" s="7">
        <v>202</v>
      </c>
      <c r="F414" s="2" t="s">
        <v>4</v>
      </c>
      <c r="G414" s="1">
        <v>19</v>
      </c>
      <c r="H414" s="6">
        <v>183</v>
      </c>
      <c r="I414" s="1">
        <v>55</v>
      </c>
      <c r="J414" s="116" t="str">
        <f t="shared" si="6"/>
        <v>평일</v>
      </c>
    </row>
    <row r="415" spans="1:10" ht="21.75" hidden="1" customHeight="1" x14ac:dyDescent="0.25">
      <c r="A415" s="2">
        <v>2021</v>
      </c>
      <c r="B415" s="2">
        <v>11</v>
      </c>
      <c r="C415" s="2" t="s">
        <v>163</v>
      </c>
      <c r="D415" s="3">
        <v>44524</v>
      </c>
      <c r="E415" s="7">
        <v>252</v>
      </c>
      <c r="F415" s="2" t="s">
        <v>4</v>
      </c>
      <c r="G415" s="1">
        <v>25</v>
      </c>
      <c r="H415" s="6">
        <v>227</v>
      </c>
      <c r="I415" s="1">
        <v>56</v>
      </c>
      <c r="J415" s="116" t="str">
        <f t="shared" si="6"/>
        <v>평일</v>
      </c>
    </row>
    <row r="416" spans="1:10" ht="21.75" hidden="1" customHeight="1" x14ac:dyDescent="0.25">
      <c r="A416" s="2">
        <v>2021</v>
      </c>
      <c r="B416" s="2">
        <v>11</v>
      </c>
      <c r="C416" s="2" t="s">
        <v>157</v>
      </c>
      <c r="D416" s="3">
        <v>44525</v>
      </c>
      <c r="E416" s="7">
        <v>122</v>
      </c>
      <c r="F416" s="2" t="s">
        <v>4</v>
      </c>
      <c r="G416" s="1">
        <v>16</v>
      </c>
      <c r="H416" s="6">
        <v>106</v>
      </c>
      <c r="I416" s="1">
        <v>57</v>
      </c>
      <c r="J416" s="116" t="str">
        <f t="shared" si="6"/>
        <v>평일</v>
      </c>
    </row>
    <row r="417" spans="1:10" ht="21.75" hidden="1" customHeight="1" x14ac:dyDescent="0.25">
      <c r="A417" s="2">
        <v>2021</v>
      </c>
      <c r="B417" s="2">
        <v>11</v>
      </c>
      <c r="C417" s="2" t="s">
        <v>158</v>
      </c>
      <c r="D417" s="3">
        <v>44526</v>
      </c>
      <c r="E417" s="7">
        <v>243</v>
      </c>
      <c r="F417" s="2" t="s">
        <v>4</v>
      </c>
      <c r="G417" s="1">
        <v>17</v>
      </c>
      <c r="H417" s="6">
        <v>226</v>
      </c>
      <c r="I417" s="1">
        <v>58</v>
      </c>
      <c r="J417" s="116" t="str">
        <f t="shared" si="6"/>
        <v>평일</v>
      </c>
    </row>
    <row r="418" spans="1:10" ht="21.75" hidden="1" customHeight="1" x14ac:dyDescent="0.25">
      <c r="A418" s="2">
        <v>2021</v>
      </c>
      <c r="B418" s="2">
        <v>11</v>
      </c>
      <c r="C418" s="2" t="s">
        <v>159</v>
      </c>
      <c r="D418" s="3">
        <v>44527</v>
      </c>
      <c r="E418" s="7">
        <v>561</v>
      </c>
      <c r="F418" s="2" t="s">
        <v>4</v>
      </c>
      <c r="G418" s="1">
        <v>71</v>
      </c>
      <c r="H418" s="6">
        <v>490</v>
      </c>
      <c r="I418" s="1">
        <v>59</v>
      </c>
      <c r="J418" s="116" t="str">
        <f t="shared" si="6"/>
        <v>주말</v>
      </c>
    </row>
    <row r="419" spans="1:10" ht="21.75" hidden="1" customHeight="1" x14ac:dyDescent="0.25">
      <c r="A419" s="2">
        <v>2021</v>
      </c>
      <c r="B419" s="2">
        <v>11</v>
      </c>
      <c r="C419" s="2" t="s">
        <v>160</v>
      </c>
      <c r="D419" s="3">
        <v>44528</v>
      </c>
      <c r="E419" s="7">
        <v>515</v>
      </c>
      <c r="F419" s="2" t="s">
        <v>4</v>
      </c>
      <c r="G419" s="1">
        <v>75</v>
      </c>
      <c r="H419" s="6">
        <v>440</v>
      </c>
      <c r="I419" s="1">
        <v>60</v>
      </c>
      <c r="J419" s="116" t="str">
        <f t="shared" si="6"/>
        <v>주말</v>
      </c>
    </row>
    <row r="420" spans="1:10" ht="21.75" hidden="1" customHeight="1" x14ac:dyDescent="0.25">
      <c r="A420" s="2">
        <v>2021</v>
      </c>
      <c r="B420" s="2">
        <v>11</v>
      </c>
      <c r="C420" s="2" t="s">
        <v>161</v>
      </c>
      <c r="D420" s="3">
        <v>44529</v>
      </c>
      <c r="E420" s="7">
        <v>179</v>
      </c>
      <c r="F420" s="2" t="s">
        <v>4</v>
      </c>
      <c r="G420" s="1">
        <v>15</v>
      </c>
      <c r="H420" s="6">
        <v>164</v>
      </c>
      <c r="I420" s="1">
        <v>61</v>
      </c>
      <c r="J420" s="116" t="str">
        <f t="shared" si="6"/>
        <v>평일</v>
      </c>
    </row>
    <row r="421" spans="1:10" ht="21.75" hidden="1" customHeight="1" x14ac:dyDescent="0.25">
      <c r="A421" s="2">
        <v>2021</v>
      </c>
      <c r="B421" s="2">
        <v>11</v>
      </c>
      <c r="C421" s="2" t="s">
        <v>162</v>
      </c>
      <c r="D421" s="3">
        <v>44530</v>
      </c>
      <c r="E421" s="7">
        <v>169</v>
      </c>
      <c r="F421" s="2" t="s">
        <v>4</v>
      </c>
      <c r="G421" s="1">
        <v>17</v>
      </c>
      <c r="H421" s="6">
        <v>152</v>
      </c>
      <c r="I421" s="1">
        <v>62</v>
      </c>
      <c r="J421" s="116" t="str">
        <f t="shared" si="6"/>
        <v>평일</v>
      </c>
    </row>
    <row r="422" spans="1:10" ht="21.75" hidden="1" customHeight="1" x14ac:dyDescent="0.25">
      <c r="A422" s="2">
        <v>2021</v>
      </c>
      <c r="B422" s="2">
        <v>12</v>
      </c>
      <c r="C422" s="2" t="s">
        <v>163</v>
      </c>
      <c r="D422" s="3">
        <v>44531</v>
      </c>
      <c r="E422" s="7">
        <v>216</v>
      </c>
      <c r="F422" s="2" t="s">
        <v>4</v>
      </c>
      <c r="G422" s="1">
        <v>22</v>
      </c>
      <c r="H422" s="6">
        <v>194</v>
      </c>
      <c r="I422" s="1">
        <v>63</v>
      </c>
      <c r="J422" s="116" t="str">
        <f t="shared" si="6"/>
        <v>평일</v>
      </c>
    </row>
    <row r="423" spans="1:10" ht="21.75" hidden="1" customHeight="1" x14ac:dyDescent="0.25">
      <c r="A423" s="2">
        <v>2021</v>
      </c>
      <c r="B423" s="2">
        <v>12</v>
      </c>
      <c r="C423" s="2" t="s">
        <v>157</v>
      </c>
      <c r="D423" s="3">
        <v>44532</v>
      </c>
      <c r="E423" s="7">
        <v>109</v>
      </c>
      <c r="F423" s="2" t="s">
        <v>4</v>
      </c>
      <c r="G423" s="1">
        <v>7</v>
      </c>
      <c r="H423" s="6">
        <v>102</v>
      </c>
      <c r="I423" s="1">
        <v>64</v>
      </c>
      <c r="J423" s="116" t="str">
        <f t="shared" si="6"/>
        <v>평일</v>
      </c>
    </row>
    <row r="424" spans="1:10" ht="21.75" hidden="1" customHeight="1" x14ac:dyDescent="0.25">
      <c r="A424" s="2">
        <v>2021</v>
      </c>
      <c r="B424" s="2">
        <v>12</v>
      </c>
      <c r="C424" s="2" t="s">
        <v>158</v>
      </c>
      <c r="D424" s="3">
        <v>44533</v>
      </c>
      <c r="E424" s="7">
        <v>152</v>
      </c>
      <c r="F424" s="2" t="s">
        <v>4</v>
      </c>
      <c r="G424" s="1">
        <v>27</v>
      </c>
      <c r="H424" s="6">
        <v>125</v>
      </c>
      <c r="I424" s="1">
        <v>65</v>
      </c>
      <c r="J424" s="116" t="str">
        <f t="shared" si="6"/>
        <v>평일</v>
      </c>
    </row>
    <row r="425" spans="1:10" ht="21.75" hidden="1" customHeight="1" x14ac:dyDescent="0.25">
      <c r="A425" s="2">
        <v>2021</v>
      </c>
      <c r="B425" s="2">
        <v>12</v>
      </c>
      <c r="C425" s="2" t="s">
        <v>159</v>
      </c>
      <c r="D425" s="3">
        <v>44534</v>
      </c>
      <c r="E425" s="7">
        <v>493</v>
      </c>
      <c r="F425" s="2" t="s">
        <v>4</v>
      </c>
      <c r="G425" s="1">
        <v>50</v>
      </c>
      <c r="H425" s="6">
        <v>443</v>
      </c>
      <c r="I425" s="1">
        <v>66</v>
      </c>
      <c r="J425" s="116" t="str">
        <f t="shared" si="6"/>
        <v>주말</v>
      </c>
    </row>
    <row r="426" spans="1:10" ht="21.75" hidden="1" customHeight="1" x14ac:dyDescent="0.25">
      <c r="A426" s="2">
        <v>2021</v>
      </c>
      <c r="B426" s="2">
        <v>12</v>
      </c>
      <c r="C426" s="2" t="s">
        <v>160</v>
      </c>
      <c r="D426" s="3">
        <v>44535</v>
      </c>
      <c r="E426" s="7">
        <v>388</v>
      </c>
      <c r="F426" s="2" t="s">
        <v>4</v>
      </c>
      <c r="G426" s="1">
        <v>51</v>
      </c>
      <c r="H426" s="6">
        <v>337</v>
      </c>
      <c r="I426" s="1">
        <v>67</v>
      </c>
      <c r="J426" s="116" t="str">
        <f t="shared" si="6"/>
        <v>주말</v>
      </c>
    </row>
    <row r="427" spans="1:10" ht="21.75" hidden="1" customHeight="1" x14ac:dyDescent="0.25">
      <c r="A427" s="2">
        <v>2021</v>
      </c>
      <c r="B427" s="2">
        <v>12</v>
      </c>
      <c r="C427" s="2" t="s">
        <v>161</v>
      </c>
      <c r="D427" s="3">
        <v>44536</v>
      </c>
      <c r="E427" s="7">
        <v>108</v>
      </c>
      <c r="F427" s="2" t="s">
        <v>4</v>
      </c>
      <c r="G427" s="1">
        <v>23</v>
      </c>
      <c r="H427" s="6">
        <v>85</v>
      </c>
      <c r="I427" s="1">
        <v>68</v>
      </c>
      <c r="J427" s="116" t="str">
        <f t="shared" si="6"/>
        <v>평일</v>
      </c>
    </row>
    <row r="428" spans="1:10" ht="21.75" hidden="1" customHeight="1" x14ac:dyDescent="0.25">
      <c r="A428" s="2">
        <v>2021</v>
      </c>
      <c r="B428" s="2">
        <v>12</v>
      </c>
      <c r="C428" s="2" t="s">
        <v>162</v>
      </c>
      <c r="D428" s="3">
        <v>44537</v>
      </c>
      <c r="E428" s="7">
        <v>92</v>
      </c>
      <c r="F428" s="2" t="s">
        <v>4</v>
      </c>
      <c r="G428" s="1">
        <v>19</v>
      </c>
      <c r="H428" s="6">
        <v>73</v>
      </c>
      <c r="I428" s="1">
        <v>69</v>
      </c>
      <c r="J428" s="116" t="str">
        <f t="shared" si="6"/>
        <v>평일</v>
      </c>
    </row>
    <row r="429" spans="1:10" ht="21.75" hidden="1" customHeight="1" x14ac:dyDescent="0.25">
      <c r="A429" s="2">
        <v>2021</v>
      </c>
      <c r="B429" s="2">
        <v>12</v>
      </c>
      <c r="C429" s="2" t="s">
        <v>163</v>
      </c>
      <c r="D429" s="3">
        <v>44538</v>
      </c>
      <c r="E429" s="7">
        <v>70</v>
      </c>
      <c r="F429" s="2" t="s">
        <v>4</v>
      </c>
      <c r="G429" s="1">
        <v>13</v>
      </c>
      <c r="H429" s="6">
        <v>57</v>
      </c>
      <c r="I429" s="1">
        <v>70</v>
      </c>
      <c r="J429" s="116" t="str">
        <f t="shared" si="6"/>
        <v>평일</v>
      </c>
    </row>
    <row r="430" spans="1:10" ht="21.75" hidden="1" customHeight="1" x14ac:dyDescent="0.25">
      <c r="A430" s="2">
        <v>2021</v>
      </c>
      <c r="B430" s="2">
        <v>12</v>
      </c>
      <c r="C430" s="2" t="s">
        <v>157</v>
      </c>
      <c r="D430" s="3">
        <v>44539</v>
      </c>
      <c r="E430" s="7">
        <v>100</v>
      </c>
      <c r="F430" s="2" t="s">
        <v>4</v>
      </c>
      <c r="G430" s="1">
        <v>16</v>
      </c>
      <c r="H430" s="6">
        <v>84</v>
      </c>
      <c r="I430" s="1">
        <v>71</v>
      </c>
      <c r="J430" s="116" t="str">
        <f t="shared" si="6"/>
        <v>평일</v>
      </c>
    </row>
    <row r="431" spans="1:10" ht="21.75" hidden="1" customHeight="1" x14ac:dyDescent="0.25">
      <c r="A431" s="2">
        <v>2021</v>
      </c>
      <c r="B431" s="2">
        <v>12</v>
      </c>
      <c r="C431" s="2" t="s">
        <v>158</v>
      </c>
      <c r="D431" s="3">
        <v>44540</v>
      </c>
      <c r="E431" s="7">
        <v>134</v>
      </c>
      <c r="F431" s="2" t="s">
        <v>4</v>
      </c>
      <c r="G431" s="1">
        <v>14</v>
      </c>
      <c r="H431" s="6">
        <v>120</v>
      </c>
      <c r="I431" s="1">
        <v>72</v>
      </c>
      <c r="J431" s="116" t="str">
        <f t="shared" si="6"/>
        <v>평일</v>
      </c>
    </row>
    <row r="432" spans="1:10" ht="21.75" hidden="1" customHeight="1" x14ac:dyDescent="0.25">
      <c r="A432" s="2">
        <v>2021</v>
      </c>
      <c r="B432" s="2">
        <v>12</v>
      </c>
      <c r="C432" s="2" t="s">
        <v>159</v>
      </c>
      <c r="D432" s="3">
        <v>44541</v>
      </c>
      <c r="E432" s="7">
        <v>316</v>
      </c>
      <c r="F432" s="2" t="s">
        <v>4</v>
      </c>
      <c r="G432" s="1">
        <v>60</v>
      </c>
      <c r="H432" s="6">
        <v>256</v>
      </c>
      <c r="I432" s="1">
        <v>73</v>
      </c>
      <c r="J432" s="116" t="str">
        <f t="shared" si="6"/>
        <v>주말</v>
      </c>
    </row>
    <row r="433" spans="1:10" ht="21.75" hidden="1" customHeight="1" x14ac:dyDescent="0.25">
      <c r="A433" s="2">
        <v>2021</v>
      </c>
      <c r="B433" s="2">
        <v>12</v>
      </c>
      <c r="C433" s="2" t="s">
        <v>160</v>
      </c>
      <c r="D433" s="3">
        <v>44542</v>
      </c>
      <c r="E433" s="7">
        <v>302</v>
      </c>
      <c r="F433" s="2" t="s">
        <v>4</v>
      </c>
      <c r="G433" s="1">
        <v>57</v>
      </c>
      <c r="H433" s="6">
        <v>245</v>
      </c>
      <c r="I433" s="1">
        <v>74</v>
      </c>
      <c r="J433" s="116" t="str">
        <f t="shared" si="6"/>
        <v>주말</v>
      </c>
    </row>
    <row r="434" spans="1:10" ht="21.75" hidden="1" customHeight="1" x14ac:dyDescent="0.25">
      <c r="A434" s="2">
        <v>2021</v>
      </c>
      <c r="B434" s="2">
        <v>12</v>
      </c>
      <c r="C434" s="2" t="s">
        <v>161</v>
      </c>
      <c r="D434" s="3">
        <v>44543</v>
      </c>
      <c r="E434" s="7">
        <v>96</v>
      </c>
      <c r="F434" s="2" t="s">
        <v>4</v>
      </c>
      <c r="G434" s="1">
        <v>13</v>
      </c>
      <c r="H434" s="6">
        <v>83</v>
      </c>
      <c r="I434" s="1">
        <v>75</v>
      </c>
      <c r="J434" s="116" t="str">
        <f t="shared" si="6"/>
        <v>평일</v>
      </c>
    </row>
    <row r="435" spans="1:10" ht="21.75" hidden="1" customHeight="1" x14ac:dyDescent="0.25">
      <c r="A435" s="2">
        <v>2021</v>
      </c>
      <c r="B435" s="2">
        <v>12</v>
      </c>
      <c r="C435" s="2" t="s">
        <v>162</v>
      </c>
      <c r="D435" s="3">
        <v>44544</v>
      </c>
      <c r="E435" s="7">
        <v>63</v>
      </c>
      <c r="F435" s="2" t="s">
        <v>4</v>
      </c>
      <c r="G435" s="1">
        <v>9</v>
      </c>
      <c r="H435" s="6">
        <v>54</v>
      </c>
      <c r="I435" s="1">
        <v>76</v>
      </c>
      <c r="J435" s="116" t="str">
        <f t="shared" si="6"/>
        <v>평일</v>
      </c>
    </row>
    <row r="436" spans="1:10" ht="21.75" hidden="1" customHeight="1" x14ac:dyDescent="0.25">
      <c r="A436" s="2">
        <v>2021</v>
      </c>
      <c r="B436" s="2">
        <v>12</v>
      </c>
      <c r="C436" s="2" t="s">
        <v>163</v>
      </c>
      <c r="D436" s="3">
        <v>44545</v>
      </c>
      <c r="E436" s="7">
        <v>102</v>
      </c>
      <c r="F436" s="2" t="s">
        <v>4</v>
      </c>
      <c r="G436" s="1">
        <v>11</v>
      </c>
      <c r="H436" s="6">
        <v>91</v>
      </c>
      <c r="I436" s="1">
        <v>77</v>
      </c>
      <c r="J436" s="116" t="str">
        <f t="shared" si="6"/>
        <v>평일</v>
      </c>
    </row>
    <row r="437" spans="1:10" ht="21.75" hidden="1" customHeight="1" x14ac:dyDescent="0.25">
      <c r="A437" s="2">
        <v>2021</v>
      </c>
      <c r="B437" s="2">
        <v>12</v>
      </c>
      <c r="C437" s="2" t="s">
        <v>157</v>
      </c>
      <c r="D437" s="3">
        <v>44546</v>
      </c>
      <c r="E437" s="7">
        <v>133</v>
      </c>
      <c r="F437" s="2" t="s">
        <v>4</v>
      </c>
      <c r="G437" s="1">
        <v>28</v>
      </c>
      <c r="H437" s="6">
        <v>105</v>
      </c>
      <c r="I437" s="1">
        <v>78</v>
      </c>
      <c r="J437" s="116" t="str">
        <f t="shared" si="6"/>
        <v>평일</v>
      </c>
    </row>
    <row r="438" spans="1:10" ht="21.75" hidden="1" customHeight="1" x14ac:dyDescent="0.25">
      <c r="A438" s="2">
        <v>2021</v>
      </c>
      <c r="B438" s="2">
        <v>12</v>
      </c>
      <c r="C438" s="2" t="s">
        <v>158</v>
      </c>
      <c r="D438" s="3">
        <v>44547</v>
      </c>
      <c r="E438" s="7">
        <v>119</v>
      </c>
      <c r="F438" s="2" t="s">
        <v>4</v>
      </c>
      <c r="G438" s="1">
        <v>31</v>
      </c>
      <c r="H438" s="6">
        <v>88</v>
      </c>
      <c r="I438" s="1">
        <v>79</v>
      </c>
      <c r="J438" s="116" t="str">
        <f t="shared" si="6"/>
        <v>평일</v>
      </c>
    </row>
    <row r="439" spans="1:10" ht="21.75" hidden="1" customHeight="1" x14ac:dyDescent="0.25">
      <c r="A439" s="2">
        <v>2021</v>
      </c>
      <c r="B439" s="2">
        <v>12</v>
      </c>
      <c r="C439" s="2" t="s">
        <v>159</v>
      </c>
      <c r="D439" s="3">
        <v>44548</v>
      </c>
      <c r="E439" s="7">
        <v>358</v>
      </c>
      <c r="F439" s="2" t="s">
        <v>4</v>
      </c>
      <c r="G439" s="1">
        <v>80</v>
      </c>
      <c r="H439" s="6">
        <v>278</v>
      </c>
      <c r="I439" s="1">
        <v>80</v>
      </c>
      <c r="J439" s="116" t="str">
        <f t="shared" si="6"/>
        <v>주말</v>
      </c>
    </row>
    <row r="440" spans="1:10" ht="21.75" hidden="1" customHeight="1" x14ac:dyDescent="0.25">
      <c r="A440" s="2">
        <v>2021</v>
      </c>
      <c r="B440" s="2">
        <v>12</v>
      </c>
      <c r="C440" s="2" t="s">
        <v>160</v>
      </c>
      <c r="D440" s="3">
        <v>44549</v>
      </c>
      <c r="E440" s="7">
        <v>376</v>
      </c>
      <c r="F440" s="2" t="s">
        <v>4</v>
      </c>
      <c r="G440" s="1">
        <v>76</v>
      </c>
      <c r="H440" s="6">
        <v>300</v>
      </c>
      <c r="I440" s="1">
        <v>81</v>
      </c>
      <c r="J440" s="116" t="str">
        <f t="shared" si="6"/>
        <v>주말</v>
      </c>
    </row>
    <row r="441" spans="1:10" ht="21.75" hidden="1" customHeight="1" x14ac:dyDescent="0.25">
      <c r="A441" s="2">
        <v>2021</v>
      </c>
      <c r="B441" s="2">
        <v>12</v>
      </c>
      <c r="C441" s="2" t="s">
        <v>161</v>
      </c>
      <c r="D441" s="3">
        <v>44550</v>
      </c>
      <c r="E441" s="7">
        <v>130</v>
      </c>
      <c r="F441" s="2" t="s">
        <v>4</v>
      </c>
      <c r="G441" s="1">
        <v>26</v>
      </c>
      <c r="H441" s="6">
        <v>104</v>
      </c>
      <c r="I441" s="1">
        <v>82</v>
      </c>
      <c r="J441" s="116" t="str">
        <f t="shared" si="6"/>
        <v>평일</v>
      </c>
    </row>
    <row r="442" spans="1:10" ht="21.75" hidden="1" customHeight="1" x14ac:dyDescent="0.25">
      <c r="A442" s="2">
        <v>2021</v>
      </c>
      <c r="B442" s="2">
        <v>12</v>
      </c>
      <c r="C442" s="2" t="s">
        <v>162</v>
      </c>
      <c r="D442" s="3">
        <v>44551</v>
      </c>
      <c r="E442" s="7">
        <v>166</v>
      </c>
      <c r="F442" s="2" t="s">
        <v>4</v>
      </c>
      <c r="G442" s="1">
        <v>43</v>
      </c>
      <c r="H442" s="6">
        <v>123</v>
      </c>
      <c r="I442" s="1">
        <v>83</v>
      </c>
      <c r="J442" s="116" t="str">
        <f t="shared" si="6"/>
        <v>평일</v>
      </c>
    </row>
    <row r="443" spans="1:10" ht="21.75" hidden="1" customHeight="1" x14ac:dyDescent="0.25">
      <c r="A443" s="2">
        <v>2021</v>
      </c>
      <c r="B443" s="2">
        <v>12</v>
      </c>
      <c r="C443" s="2" t="s">
        <v>163</v>
      </c>
      <c r="D443" s="3">
        <v>44552</v>
      </c>
      <c r="E443" s="7">
        <v>201</v>
      </c>
      <c r="F443" s="2" t="s">
        <v>4</v>
      </c>
      <c r="G443" s="1">
        <v>53</v>
      </c>
      <c r="H443" s="6">
        <v>148</v>
      </c>
      <c r="I443" s="1">
        <v>84</v>
      </c>
      <c r="J443" s="116" t="str">
        <f t="shared" si="6"/>
        <v>평일</v>
      </c>
    </row>
    <row r="444" spans="1:10" ht="21.75" hidden="1" customHeight="1" x14ac:dyDescent="0.25">
      <c r="A444" s="2">
        <v>2021</v>
      </c>
      <c r="B444" s="2">
        <v>12</v>
      </c>
      <c r="C444" s="2" t="s">
        <v>157</v>
      </c>
      <c r="D444" s="3">
        <v>44553</v>
      </c>
      <c r="E444" s="7">
        <v>185</v>
      </c>
      <c r="F444" s="2" t="s">
        <v>4</v>
      </c>
      <c r="G444" s="1">
        <v>46</v>
      </c>
      <c r="H444" s="6">
        <v>139</v>
      </c>
      <c r="I444" s="1">
        <v>85</v>
      </c>
      <c r="J444" s="116" t="str">
        <f t="shared" si="6"/>
        <v>평일</v>
      </c>
    </row>
    <row r="445" spans="1:10" ht="21.75" hidden="1" customHeight="1" x14ac:dyDescent="0.25">
      <c r="A445" s="2">
        <v>2021</v>
      </c>
      <c r="B445" s="2">
        <v>12</v>
      </c>
      <c r="C445" s="2" t="s">
        <v>158</v>
      </c>
      <c r="D445" s="3">
        <v>44554</v>
      </c>
      <c r="E445" s="7">
        <v>257</v>
      </c>
      <c r="F445" s="2" t="s">
        <v>4</v>
      </c>
      <c r="G445" s="1">
        <v>58</v>
      </c>
      <c r="H445" s="6">
        <v>199</v>
      </c>
      <c r="I445" s="1">
        <v>86</v>
      </c>
      <c r="J445" s="116" t="str">
        <f t="shared" si="6"/>
        <v>평일</v>
      </c>
    </row>
    <row r="446" spans="1:10" ht="21.75" hidden="1" customHeight="1" x14ac:dyDescent="0.25">
      <c r="A446" s="2">
        <v>2021</v>
      </c>
      <c r="B446" s="2">
        <v>12</v>
      </c>
      <c r="C446" s="2" t="s">
        <v>159</v>
      </c>
      <c r="D446" s="3">
        <v>44555</v>
      </c>
      <c r="E446" s="7">
        <v>578</v>
      </c>
      <c r="F446" s="2" t="s">
        <v>4</v>
      </c>
      <c r="G446" s="1">
        <v>122</v>
      </c>
      <c r="H446" s="6">
        <v>456</v>
      </c>
      <c r="I446" s="1">
        <v>87</v>
      </c>
      <c r="J446" s="116" t="str">
        <f t="shared" si="6"/>
        <v>주말</v>
      </c>
    </row>
    <row r="447" spans="1:10" ht="21.75" hidden="1" customHeight="1" x14ac:dyDescent="0.25">
      <c r="A447" s="2">
        <v>2021</v>
      </c>
      <c r="B447" s="2">
        <v>12</v>
      </c>
      <c r="C447" s="2" t="s">
        <v>160</v>
      </c>
      <c r="D447" s="3">
        <v>44556</v>
      </c>
      <c r="E447" s="7">
        <v>432</v>
      </c>
      <c r="F447" s="2" t="s">
        <v>4</v>
      </c>
      <c r="G447" s="1">
        <v>131</v>
      </c>
      <c r="H447" s="6">
        <v>301</v>
      </c>
      <c r="I447" s="1">
        <v>88</v>
      </c>
      <c r="J447" s="116" t="str">
        <f t="shared" si="6"/>
        <v>주말</v>
      </c>
    </row>
    <row r="448" spans="1:10" ht="21.75" hidden="1" customHeight="1" x14ac:dyDescent="0.25">
      <c r="A448" s="2">
        <v>2021</v>
      </c>
      <c r="B448" s="2">
        <v>12</v>
      </c>
      <c r="C448" s="2" t="s">
        <v>161</v>
      </c>
      <c r="D448" s="3">
        <v>44557</v>
      </c>
      <c r="E448" s="7">
        <v>305</v>
      </c>
      <c r="F448" s="2" t="s">
        <v>4</v>
      </c>
      <c r="G448" s="1">
        <v>84</v>
      </c>
      <c r="H448" s="6">
        <v>221</v>
      </c>
      <c r="I448" s="1">
        <v>89</v>
      </c>
      <c r="J448" s="116" t="str">
        <f t="shared" si="6"/>
        <v>평일</v>
      </c>
    </row>
    <row r="449" spans="1:10" ht="21.75" hidden="1" customHeight="1" x14ac:dyDescent="0.25">
      <c r="A449" s="2">
        <v>2021</v>
      </c>
      <c r="B449" s="2">
        <v>12</v>
      </c>
      <c r="C449" s="2" t="s">
        <v>162</v>
      </c>
      <c r="D449" s="3">
        <v>44558</v>
      </c>
      <c r="E449" s="7">
        <v>332</v>
      </c>
      <c r="F449" s="2" t="s">
        <v>4</v>
      </c>
      <c r="G449" s="1">
        <v>82</v>
      </c>
      <c r="H449" s="6">
        <v>250</v>
      </c>
      <c r="I449" s="1">
        <v>90</v>
      </c>
      <c r="J449" s="116" t="str">
        <f t="shared" si="6"/>
        <v>평일</v>
      </c>
    </row>
    <row r="450" spans="1:10" ht="21.75" hidden="1" customHeight="1" x14ac:dyDescent="0.25">
      <c r="A450" s="2">
        <v>2021</v>
      </c>
      <c r="B450" s="2">
        <v>12</v>
      </c>
      <c r="C450" s="2" t="s">
        <v>163</v>
      </c>
      <c r="D450" s="3">
        <v>44559</v>
      </c>
      <c r="E450" s="7">
        <v>633</v>
      </c>
      <c r="F450" s="2" t="s">
        <v>4</v>
      </c>
      <c r="G450" s="1">
        <v>123</v>
      </c>
      <c r="H450" s="6">
        <v>510</v>
      </c>
      <c r="I450" s="1">
        <v>91</v>
      </c>
      <c r="J450" s="116" t="str">
        <f t="shared" si="6"/>
        <v>평일</v>
      </c>
    </row>
    <row r="451" spans="1:10" ht="21.75" hidden="1" customHeight="1" x14ac:dyDescent="0.25">
      <c r="A451" s="2">
        <v>2021</v>
      </c>
      <c r="B451" s="2">
        <v>12</v>
      </c>
      <c r="C451" s="2" t="s">
        <v>157</v>
      </c>
      <c r="D451" s="3">
        <v>44560</v>
      </c>
      <c r="E451" s="7">
        <v>503</v>
      </c>
      <c r="F451" s="2" t="s">
        <v>4</v>
      </c>
      <c r="G451" s="1">
        <v>133</v>
      </c>
      <c r="H451" s="6">
        <v>370</v>
      </c>
      <c r="I451" s="1">
        <v>92</v>
      </c>
      <c r="J451" s="116" t="str">
        <f t="shared" ref="J451:J514" si="7">+IF(OR(C451="토",C451="일"),"주말","평일")</f>
        <v>평일</v>
      </c>
    </row>
    <row r="452" spans="1:10" ht="21.75" hidden="1" customHeight="1" x14ac:dyDescent="0.25">
      <c r="A452" s="2">
        <v>2021</v>
      </c>
      <c r="B452" s="2">
        <v>12</v>
      </c>
      <c r="C452" s="2" t="s">
        <v>158</v>
      </c>
      <c r="D452" s="3">
        <v>44561</v>
      </c>
      <c r="E452" s="7">
        <v>539</v>
      </c>
      <c r="F452" s="2" t="s">
        <v>4</v>
      </c>
      <c r="G452" s="1">
        <v>171</v>
      </c>
      <c r="H452" s="6">
        <v>368</v>
      </c>
      <c r="I452" s="1">
        <v>93</v>
      </c>
      <c r="J452" s="116" t="str">
        <f t="shared" si="7"/>
        <v>평일</v>
      </c>
    </row>
    <row r="453" spans="1:10" ht="21.75" hidden="1" customHeight="1" x14ac:dyDescent="0.25">
      <c r="A453" s="2">
        <v>2022</v>
      </c>
      <c r="B453" s="2">
        <v>1</v>
      </c>
      <c r="C453" s="2" t="s">
        <v>159</v>
      </c>
      <c r="D453" s="3">
        <v>44562</v>
      </c>
      <c r="E453" s="7">
        <v>0</v>
      </c>
      <c r="F453" s="2" t="s">
        <v>4</v>
      </c>
      <c r="G453" s="1">
        <v>0</v>
      </c>
      <c r="H453" s="6">
        <v>0</v>
      </c>
      <c r="I453" s="1">
        <v>94</v>
      </c>
      <c r="J453" s="116" t="str">
        <f t="shared" si="7"/>
        <v>주말</v>
      </c>
    </row>
    <row r="454" spans="1:10" ht="21.75" hidden="1" customHeight="1" x14ac:dyDescent="0.25">
      <c r="A454" s="2">
        <v>2022</v>
      </c>
      <c r="B454" s="2">
        <v>1</v>
      </c>
      <c r="C454" s="2" t="s">
        <v>160</v>
      </c>
      <c r="D454" s="3">
        <v>44563</v>
      </c>
      <c r="E454" s="7">
        <v>1215</v>
      </c>
      <c r="F454" s="2" t="s">
        <v>4</v>
      </c>
      <c r="G454" s="1">
        <v>505</v>
      </c>
      <c r="H454" s="6">
        <v>710</v>
      </c>
      <c r="I454" s="1">
        <v>95</v>
      </c>
      <c r="J454" s="116" t="str">
        <f t="shared" si="7"/>
        <v>주말</v>
      </c>
    </row>
    <row r="455" spans="1:10" ht="21.75" hidden="1" customHeight="1" x14ac:dyDescent="0.25">
      <c r="A455" s="2">
        <v>2022</v>
      </c>
      <c r="B455" s="2">
        <v>1</v>
      </c>
      <c r="C455" s="2" t="s">
        <v>161</v>
      </c>
      <c r="D455" s="3">
        <v>44564</v>
      </c>
      <c r="E455" s="7">
        <v>121</v>
      </c>
      <c r="F455" s="2" t="s">
        <v>4</v>
      </c>
      <c r="G455" s="1">
        <v>6</v>
      </c>
      <c r="H455" s="6">
        <v>115</v>
      </c>
      <c r="I455" s="1">
        <v>96</v>
      </c>
      <c r="J455" s="116" t="str">
        <f t="shared" si="7"/>
        <v>평일</v>
      </c>
    </row>
    <row r="456" spans="1:10" ht="21.75" hidden="1" customHeight="1" x14ac:dyDescent="0.25">
      <c r="A456" s="2">
        <v>2022</v>
      </c>
      <c r="B456" s="2">
        <v>1</v>
      </c>
      <c r="C456" s="2" t="s">
        <v>162</v>
      </c>
      <c r="D456" s="3">
        <v>44565</v>
      </c>
      <c r="E456" s="7">
        <v>239</v>
      </c>
      <c r="F456" s="2" t="s">
        <v>4</v>
      </c>
      <c r="G456" s="1">
        <v>18</v>
      </c>
      <c r="H456" s="6">
        <v>221</v>
      </c>
      <c r="I456" s="1">
        <v>97</v>
      </c>
      <c r="J456" s="116" t="str">
        <f t="shared" si="7"/>
        <v>평일</v>
      </c>
    </row>
    <row r="457" spans="1:10" ht="21.75" hidden="1" customHeight="1" x14ac:dyDescent="0.25">
      <c r="A457" s="2">
        <v>2022</v>
      </c>
      <c r="B457" s="2">
        <v>1</v>
      </c>
      <c r="C457" s="2" t="s">
        <v>163</v>
      </c>
      <c r="D457" s="3">
        <v>44566</v>
      </c>
      <c r="E457" s="7">
        <v>390</v>
      </c>
      <c r="F457" s="2" t="s">
        <v>4</v>
      </c>
      <c r="G457" s="1">
        <v>23</v>
      </c>
      <c r="H457" s="6">
        <v>367</v>
      </c>
      <c r="I457" s="1">
        <v>98</v>
      </c>
      <c r="J457" s="116" t="str">
        <f t="shared" si="7"/>
        <v>평일</v>
      </c>
    </row>
    <row r="458" spans="1:10" ht="21.75" hidden="1" customHeight="1" x14ac:dyDescent="0.25">
      <c r="A458" s="2">
        <v>2022</v>
      </c>
      <c r="B458" s="2">
        <v>1</v>
      </c>
      <c r="C458" s="2" t="s">
        <v>157</v>
      </c>
      <c r="D458" s="3">
        <v>44567</v>
      </c>
      <c r="E458" s="7">
        <v>400</v>
      </c>
      <c r="F458" s="2" t="s">
        <v>4</v>
      </c>
      <c r="G458" s="1">
        <v>36</v>
      </c>
      <c r="H458" s="6">
        <v>364</v>
      </c>
      <c r="I458" s="1">
        <v>99</v>
      </c>
      <c r="J458" s="116" t="str">
        <f t="shared" si="7"/>
        <v>평일</v>
      </c>
    </row>
    <row r="459" spans="1:10" ht="21.75" hidden="1" customHeight="1" x14ac:dyDescent="0.25">
      <c r="A459" s="2">
        <v>2022</v>
      </c>
      <c r="B459" s="2">
        <v>1</v>
      </c>
      <c r="C459" s="2" t="s">
        <v>158</v>
      </c>
      <c r="D459" s="3">
        <v>44568</v>
      </c>
      <c r="E459" s="7">
        <v>493</v>
      </c>
      <c r="F459" s="2" t="s">
        <v>4</v>
      </c>
      <c r="G459" s="1">
        <v>21</v>
      </c>
      <c r="H459" s="6">
        <v>472</v>
      </c>
      <c r="I459" s="1">
        <v>100</v>
      </c>
      <c r="J459" s="116" t="str">
        <f t="shared" si="7"/>
        <v>평일</v>
      </c>
    </row>
    <row r="460" spans="1:10" ht="21.75" hidden="1" customHeight="1" x14ac:dyDescent="0.25">
      <c r="A460" s="2">
        <v>2022</v>
      </c>
      <c r="B460" s="2">
        <v>1</v>
      </c>
      <c r="C460" s="2" t="s">
        <v>159</v>
      </c>
      <c r="D460" s="3">
        <v>44569</v>
      </c>
      <c r="E460" s="7">
        <v>1009</v>
      </c>
      <c r="F460" s="2" t="s">
        <v>4</v>
      </c>
      <c r="G460" s="1">
        <v>99</v>
      </c>
      <c r="H460" s="6">
        <v>910</v>
      </c>
      <c r="I460" s="1">
        <v>101</v>
      </c>
      <c r="J460" s="116" t="str">
        <f t="shared" si="7"/>
        <v>주말</v>
      </c>
    </row>
    <row r="461" spans="1:10" ht="21.75" hidden="1" customHeight="1" x14ac:dyDescent="0.25">
      <c r="A461" s="2">
        <v>2022</v>
      </c>
      <c r="B461" s="2">
        <v>1</v>
      </c>
      <c r="C461" s="2" t="s">
        <v>160</v>
      </c>
      <c r="D461" s="3">
        <v>44570</v>
      </c>
      <c r="E461" s="7">
        <v>1089</v>
      </c>
      <c r="F461" s="2" t="s">
        <v>4</v>
      </c>
      <c r="G461" s="1">
        <v>107</v>
      </c>
      <c r="H461" s="6">
        <v>982</v>
      </c>
      <c r="I461" s="1">
        <v>102</v>
      </c>
      <c r="J461" s="116" t="str">
        <f t="shared" si="7"/>
        <v>주말</v>
      </c>
    </row>
    <row r="462" spans="1:10" ht="21.75" hidden="1" customHeight="1" x14ac:dyDescent="0.25">
      <c r="A462" s="2">
        <v>2022</v>
      </c>
      <c r="B462" s="2">
        <v>1</v>
      </c>
      <c r="C462" s="2" t="s">
        <v>161</v>
      </c>
      <c r="D462" s="3">
        <v>44571</v>
      </c>
      <c r="E462" s="7">
        <v>0</v>
      </c>
      <c r="F462" s="2">
        <v>0</v>
      </c>
      <c r="G462" s="1"/>
      <c r="H462" s="1"/>
      <c r="I462" s="1">
        <v>81</v>
      </c>
      <c r="J462" s="116" t="str">
        <f t="shared" si="7"/>
        <v>평일</v>
      </c>
    </row>
    <row r="463" spans="1:10" ht="21.75" hidden="1" customHeight="1" x14ac:dyDescent="0.25">
      <c r="A463" s="2">
        <v>2022</v>
      </c>
      <c r="B463" s="2">
        <v>1</v>
      </c>
      <c r="C463" s="2" t="s">
        <v>162</v>
      </c>
      <c r="D463" s="3">
        <v>44572</v>
      </c>
      <c r="E463" s="7">
        <v>0</v>
      </c>
      <c r="F463" s="2">
        <v>0</v>
      </c>
      <c r="G463" s="1"/>
      <c r="H463" s="1"/>
      <c r="I463" s="1">
        <v>82</v>
      </c>
      <c r="J463" s="116" t="str">
        <f t="shared" si="7"/>
        <v>평일</v>
      </c>
    </row>
    <row r="464" spans="1:10" ht="21.75" hidden="1" customHeight="1" x14ac:dyDescent="0.25">
      <c r="A464" s="2">
        <v>2022</v>
      </c>
      <c r="B464" s="2">
        <v>1</v>
      </c>
      <c r="C464" s="2" t="s">
        <v>163</v>
      </c>
      <c r="D464" s="3">
        <v>44573</v>
      </c>
      <c r="E464" s="7">
        <v>0</v>
      </c>
      <c r="F464" s="2">
        <v>0</v>
      </c>
      <c r="G464" s="1"/>
      <c r="H464" s="1"/>
      <c r="I464" s="1">
        <v>83</v>
      </c>
      <c r="J464" s="116" t="str">
        <f t="shared" si="7"/>
        <v>평일</v>
      </c>
    </row>
    <row r="465" spans="1:10" ht="21.75" hidden="1" customHeight="1" x14ac:dyDescent="0.25">
      <c r="A465" s="2">
        <v>2022</v>
      </c>
      <c r="B465" s="2">
        <v>1</v>
      </c>
      <c r="C465" s="2" t="s">
        <v>157</v>
      </c>
      <c r="D465" s="3">
        <v>44574</v>
      </c>
      <c r="E465" s="7">
        <v>0</v>
      </c>
      <c r="F465" s="2">
        <v>0</v>
      </c>
      <c r="G465" s="1"/>
      <c r="H465" s="1"/>
      <c r="I465" s="1">
        <v>84</v>
      </c>
      <c r="J465" s="116" t="str">
        <f t="shared" si="7"/>
        <v>평일</v>
      </c>
    </row>
    <row r="466" spans="1:10" ht="21.75" hidden="1" customHeight="1" x14ac:dyDescent="0.25">
      <c r="A466" s="2">
        <v>2022</v>
      </c>
      <c r="B466" s="2">
        <v>1</v>
      </c>
      <c r="C466" s="2" t="s">
        <v>158</v>
      </c>
      <c r="D466" s="3">
        <v>44575</v>
      </c>
      <c r="E466" s="7">
        <v>0</v>
      </c>
      <c r="F466" s="2">
        <v>0</v>
      </c>
      <c r="G466" s="1"/>
      <c r="H466" s="1"/>
      <c r="I466" s="1">
        <v>85</v>
      </c>
      <c r="J466" s="116" t="str">
        <f t="shared" si="7"/>
        <v>평일</v>
      </c>
    </row>
    <row r="467" spans="1:10" ht="21.75" hidden="1" customHeight="1" x14ac:dyDescent="0.25">
      <c r="A467" s="2">
        <v>2022</v>
      </c>
      <c r="B467" s="2">
        <v>1</v>
      </c>
      <c r="C467" s="2" t="s">
        <v>159</v>
      </c>
      <c r="D467" s="3">
        <v>44576</v>
      </c>
      <c r="E467" s="7">
        <v>0</v>
      </c>
      <c r="F467" s="2">
        <v>0</v>
      </c>
      <c r="G467" s="1"/>
      <c r="H467" s="1"/>
      <c r="I467" s="1">
        <v>86</v>
      </c>
      <c r="J467" s="116" t="str">
        <f t="shared" si="7"/>
        <v>주말</v>
      </c>
    </row>
    <row r="468" spans="1:10" ht="21.75" hidden="1" customHeight="1" x14ac:dyDescent="0.25">
      <c r="A468" s="2">
        <v>2022</v>
      </c>
      <c r="B468" s="2">
        <v>1</v>
      </c>
      <c r="C468" s="2" t="s">
        <v>160</v>
      </c>
      <c r="D468" s="3">
        <v>44577</v>
      </c>
      <c r="E468" s="7">
        <v>0</v>
      </c>
      <c r="F468" s="2">
        <v>0</v>
      </c>
      <c r="G468" s="1"/>
      <c r="H468" s="1"/>
      <c r="I468" s="1">
        <v>87</v>
      </c>
      <c r="J468" s="116" t="str">
        <f t="shared" si="7"/>
        <v>주말</v>
      </c>
    </row>
    <row r="469" spans="1:10" ht="21.75" hidden="1" customHeight="1" x14ac:dyDescent="0.25">
      <c r="A469" s="2">
        <v>2022</v>
      </c>
      <c r="B469" s="2">
        <v>1</v>
      </c>
      <c r="C469" s="2" t="s">
        <v>161</v>
      </c>
      <c r="D469" s="3">
        <v>44578</v>
      </c>
      <c r="E469" s="7">
        <v>0</v>
      </c>
      <c r="F469" s="2">
        <v>0</v>
      </c>
      <c r="G469" s="1"/>
      <c r="H469" s="1"/>
      <c r="I469" s="1">
        <v>88</v>
      </c>
      <c r="J469" s="116" t="str">
        <f t="shared" si="7"/>
        <v>평일</v>
      </c>
    </row>
    <row r="470" spans="1:10" ht="21.75" hidden="1" customHeight="1" x14ac:dyDescent="0.25">
      <c r="A470" s="2">
        <v>2022</v>
      </c>
      <c r="B470" s="2">
        <v>1</v>
      </c>
      <c r="C470" s="2" t="s">
        <v>162</v>
      </c>
      <c r="D470" s="3">
        <v>44579</v>
      </c>
      <c r="E470" s="7">
        <v>0</v>
      </c>
      <c r="F470" s="2">
        <v>0</v>
      </c>
      <c r="G470" s="1"/>
      <c r="H470" s="1"/>
      <c r="I470" s="1">
        <v>89</v>
      </c>
      <c r="J470" s="116" t="str">
        <f t="shared" si="7"/>
        <v>평일</v>
      </c>
    </row>
    <row r="471" spans="1:10" ht="21.75" hidden="1" customHeight="1" x14ac:dyDescent="0.25">
      <c r="A471" s="2">
        <v>2022</v>
      </c>
      <c r="B471" s="2">
        <v>1</v>
      </c>
      <c r="C471" s="2" t="s">
        <v>163</v>
      </c>
      <c r="D471" s="3">
        <v>44580</v>
      </c>
      <c r="E471" s="7">
        <v>0</v>
      </c>
      <c r="F471" s="2">
        <v>0</v>
      </c>
      <c r="G471" s="1"/>
      <c r="H471" s="1"/>
      <c r="I471" s="1">
        <v>90</v>
      </c>
      <c r="J471" s="116" t="str">
        <f t="shared" si="7"/>
        <v>평일</v>
      </c>
    </row>
    <row r="472" spans="1:10" ht="21.75" hidden="1" customHeight="1" x14ac:dyDescent="0.25">
      <c r="A472" s="2">
        <v>2022</v>
      </c>
      <c r="B472" s="2">
        <v>1</v>
      </c>
      <c r="C472" s="2" t="s">
        <v>157</v>
      </c>
      <c r="D472" s="3">
        <v>44581</v>
      </c>
      <c r="E472" s="7">
        <v>0</v>
      </c>
      <c r="F472" s="2">
        <v>0</v>
      </c>
      <c r="G472" s="1"/>
      <c r="H472" s="1"/>
      <c r="I472" s="1">
        <v>91</v>
      </c>
      <c r="J472" s="116" t="str">
        <f t="shared" si="7"/>
        <v>평일</v>
      </c>
    </row>
    <row r="473" spans="1:10" ht="21.75" hidden="1" customHeight="1" x14ac:dyDescent="0.25">
      <c r="A473" s="2">
        <v>2022</v>
      </c>
      <c r="B473" s="2">
        <v>1</v>
      </c>
      <c r="C473" s="2" t="s">
        <v>158</v>
      </c>
      <c r="D473" s="3">
        <v>44582</v>
      </c>
      <c r="E473" s="7">
        <v>0</v>
      </c>
      <c r="F473" s="2">
        <v>0</v>
      </c>
      <c r="G473" s="1"/>
      <c r="H473" s="1"/>
      <c r="I473" s="1">
        <v>92</v>
      </c>
      <c r="J473" s="116" t="str">
        <f t="shared" si="7"/>
        <v>평일</v>
      </c>
    </row>
    <row r="474" spans="1:10" ht="21.75" hidden="1" customHeight="1" x14ac:dyDescent="0.25">
      <c r="A474" s="2">
        <v>2022</v>
      </c>
      <c r="B474" s="2">
        <v>1</v>
      </c>
      <c r="C474" s="2" t="s">
        <v>159</v>
      </c>
      <c r="D474" s="3">
        <v>44583</v>
      </c>
      <c r="E474" s="7">
        <v>0</v>
      </c>
      <c r="F474" s="2">
        <v>0</v>
      </c>
      <c r="G474" s="1"/>
      <c r="H474" s="1"/>
      <c r="I474" s="1">
        <v>93</v>
      </c>
      <c r="J474" s="116" t="str">
        <f t="shared" si="7"/>
        <v>주말</v>
      </c>
    </row>
    <row r="475" spans="1:10" ht="21.75" hidden="1" customHeight="1" x14ac:dyDescent="0.25">
      <c r="A475" s="2">
        <v>2022</v>
      </c>
      <c r="B475" s="2">
        <v>1</v>
      </c>
      <c r="C475" s="2" t="s">
        <v>160</v>
      </c>
      <c r="D475" s="3">
        <v>44584</v>
      </c>
      <c r="E475" s="7">
        <v>0</v>
      </c>
      <c r="F475" s="2">
        <v>0</v>
      </c>
      <c r="G475" s="1"/>
      <c r="H475" s="1"/>
      <c r="I475" s="1">
        <v>94</v>
      </c>
      <c r="J475" s="116" t="str">
        <f t="shared" si="7"/>
        <v>주말</v>
      </c>
    </row>
    <row r="476" spans="1:10" ht="21.75" hidden="1" customHeight="1" x14ac:dyDescent="0.25">
      <c r="A476" s="2">
        <v>2022</v>
      </c>
      <c r="B476" s="2">
        <v>1</v>
      </c>
      <c r="C476" s="2" t="s">
        <v>161</v>
      </c>
      <c r="D476" s="3">
        <v>44585</v>
      </c>
      <c r="E476" s="7">
        <v>0</v>
      </c>
      <c r="F476" s="2">
        <v>0</v>
      </c>
      <c r="G476" s="1"/>
      <c r="H476" s="1"/>
      <c r="I476" s="1">
        <v>95</v>
      </c>
      <c r="J476" s="116" t="str">
        <f t="shared" si="7"/>
        <v>평일</v>
      </c>
    </row>
    <row r="477" spans="1:10" ht="21.75" hidden="1" customHeight="1" x14ac:dyDescent="0.25">
      <c r="A477" s="2">
        <v>2022</v>
      </c>
      <c r="B477" s="2">
        <v>1</v>
      </c>
      <c r="C477" s="2" t="s">
        <v>162</v>
      </c>
      <c r="D477" s="3">
        <v>44586</v>
      </c>
      <c r="E477" s="7">
        <v>0</v>
      </c>
      <c r="F477" s="2">
        <v>0</v>
      </c>
      <c r="G477" s="1"/>
      <c r="H477" s="1"/>
      <c r="I477" s="1">
        <v>96</v>
      </c>
      <c r="J477" s="116" t="str">
        <f t="shared" si="7"/>
        <v>평일</v>
      </c>
    </row>
    <row r="478" spans="1:10" ht="21.75" hidden="1" customHeight="1" x14ac:dyDescent="0.25">
      <c r="A478" s="2">
        <v>2022</v>
      </c>
      <c r="B478" s="2">
        <v>1</v>
      </c>
      <c r="C478" s="2" t="s">
        <v>163</v>
      </c>
      <c r="D478" s="3">
        <v>44587</v>
      </c>
      <c r="E478" s="7">
        <v>0</v>
      </c>
      <c r="F478" s="2">
        <v>0</v>
      </c>
      <c r="G478" s="1"/>
      <c r="H478" s="1"/>
      <c r="I478" s="1">
        <v>97</v>
      </c>
      <c r="J478" s="116" t="str">
        <f t="shared" si="7"/>
        <v>평일</v>
      </c>
    </row>
    <row r="479" spans="1:10" ht="21.75" hidden="1" customHeight="1" x14ac:dyDescent="0.25">
      <c r="A479" s="2">
        <v>2022</v>
      </c>
      <c r="B479" s="2">
        <v>1</v>
      </c>
      <c r="C479" s="2" t="s">
        <v>157</v>
      </c>
      <c r="D479" s="3">
        <v>44588</v>
      </c>
      <c r="E479" s="7">
        <v>0</v>
      </c>
      <c r="F479" s="2">
        <v>0</v>
      </c>
      <c r="G479" s="1"/>
      <c r="H479" s="1"/>
      <c r="I479" s="1">
        <v>98</v>
      </c>
      <c r="J479" s="116" t="str">
        <f t="shared" si="7"/>
        <v>평일</v>
      </c>
    </row>
    <row r="480" spans="1:10" ht="21.75" hidden="1" customHeight="1" x14ac:dyDescent="0.25">
      <c r="A480" s="2">
        <v>2022</v>
      </c>
      <c r="B480" s="2">
        <v>1</v>
      </c>
      <c r="C480" s="2" t="s">
        <v>158</v>
      </c>
      <c r="D480" s="3">
        <v>44589</v>
      </c>
      <c r="E480" s="7">
        <v>0</v>
      </c>
      <c r="F480" s="2">
        <v>0</v>
      </c>
      <c r="G480" s="1"/>
      <c r="H480" s="1"/>
      <c r="I480" s="1">
        <v>99</v>
      </c>
      <c r="J480" s="116" t="str">
        <f t="shared" si="7"/>
        <v>평일</v>
      </c>
    </row>
    <row r="481" spans="1:10" ht="21.75" hidden="1" customHeight="1" x14ac:dyDescent="0.25">
      <c r="A481" s="2">
        <v>2022</v>
      </c>
      <c r="B481" s="2">
        <v>1</v>
      </c>
      <c r="C481" s="2" t="s">
        <v>159</v>
      </c>
      <c r="D481" s="3">
        <v>44590</v>
      </c>
      <c r="E481" s="7">
        <v>0</v>
      </c>
      <c r="F481" s="2">
        <v>0</v>
      </c>
      <c r="G481" s="1"/>
      <c r="H481" s="1"/>
      <c r="I481" s="1">
        <v>100</v>
      </c>
      <c r="J481" s="116" t="str">
        <f t="shared" si="7"/>
        <v>주말</v>
      </c>
    </row>
    <row r="482" spans="1:10" ht="21.75" hidden="1" customHeight="1" x14ac:dyDescent="0.25">
      <c r="A482" s="2">
        <v>2022</v>
      </c>
      <c r="B482" s="2">
        <v>1</v>
      </c>
      <c r="C482" s="2" t="s">
        <v>160</v>
      </c>
      <c r="D482" s="3">
        <v>44591</v>
      </c>
      <c r="E482" s="7">
        <v>0</v>
      </c>
      <c r="F482" s="2">
        <v>0</v>
      </c>
      <c r="G482" s="1"/>
      <c r="H482" s="1"/>
      <c r="I482" s="1">
        <v>101</v>
      </c>
      <c r="J482" s="116" t="str">
        <f t="shared" si="7"/>
        <v>주말</v>
      </c>
    </row>
    <row r="483" spans="1:10" ht="21.75" hidden="1" customHeight="1" x14ac:dyDescent="0.25">
      <c r="A483" s="2">
        <v>2022</v>
      </c>
      <c r="B483" s="2">
        <v>1</v>
      </c>
      <c r="C483" s="2" t="s">
        <v>161</v>
      </c>
      <c r="D483" s="3">
        <v>44592</v>
      </c>
      <c r="E483" s="7">
        <v>0</v>
      </c>
      <c r="F483" s="2">
        <v>0</v>
      </c>
      <c r="G483" s="1"/>
      <c r="H483" s="1"/>
      <c r="I483" s="1">
        <v>102</v>
      </c>
      <c r="J483" s="116" t="str">
        <f t="shared" si="7"/>
        <v>평일</v>
      </c>
    </row>
    <row r="484" spans="1:10" ht="21.75" hidden="1" customHeight="1" x14ac:dyDescent="0.25">
      <c r="A484" s="2">
        <v>2022</v>
      </c>
      <c r="B484" s="2">
        <v>2</v>
      </c>
      <c r="C484" s="2" t="s">
        <v>162</v>
      </c>
      <c r="D484" s="3">
        <v>44593</v>
      </c>
      <c r="E484" s="7">
        <v>0</v>
      </c>
      <c r="F484" s="2">
        <v>0</v>
      </c>
      <c r="G484" s="1"/>
      <c r="H484" s="1"/>
      <c r="I484" s="1">
        <v>103</v>
      </c>
      <c r="J484" s="116" t="str">
        <f t="shared" si="7"/>
        <v>평일</v>
      </c>
    </row>
    <row r="485" spans="1:10" ht="21.75" hidden="1" customHeight="1" x14ac:dyDescent="0.25">
      <c r="A485" s="2">
        <v>2022</v>
      </c>
      <c r="B485" s="2">
        <v>2</v>
      </c>
      <c r="C485" s="2" t="s">
        <v>163</v>
      </c>
      <c r="D485" s="3">
        <v>44594</v>
      </c>
      <c r="E485" s="7">
        <v>0</v>
      </c>
      <c r="F485" s="2">
        <v>0</v>
      </c>
      <c r="G485" s="1"/>
      <c r="H485" s="1"/>
      <c r="I485" s="1">
        <v>104</v>
      </c>
      <c r="J485" s="116" t="str">
        <f t="shared" si="7"/>
        <v>평일</v>
      </c>
    </row>
    <row r="486" spans="1:10" ht="21.75" hidden="1" customHeight="1" x14ac:dyDescent="0.25">
      <c r="A486" s="2">
        <v>2022</v>
      </c>
      <c r="B486" s="2">
        <v>2</v>
      </c>
      <c r="C486" s="2" t="s">
        <v>157</v>
      </c>
      <c r="D486" s="3">
        <v>44595</v>
      </c>
      <c r="E486" s="7">
        <v>0</v>
      </c>
      <c r="F486" s="2">
        <v>0</v>
      </c>
      <c r="G486" s="1"/>
      <c r="H486" s="1"/>
      <c r="I486" s="1">
        <v>105</v>
      </c>
      <c r="J486" s="116" t="str">
        <f t="shared" si="7"/>
        <v>평일</v>
      </c>
    </row>
    <row r="487" spans="1:10" ht="21.75" hidden="1" customHeight="1" x14ac:dyDescent="0.25">
      <c r="A487" s="2">
        <v>2022</v>
      </c>
      <c r="B487" s="2">
        <v>2</v>
      </c>
      <c r="C487" s="2" t="s">
        <v>158</v>
      </c>
      <c r="D487" s="3">
        <v>44596</v>
      </c>
      <c r="E487" s="7">
        <v>0</v>
      </c>
      <c r="F487" s="2">
        <v>0</v>
      </c>
      <c r="G487" s="1"/>
      <c r="H487" s="1"/>
      <c r="I487" s="1">
        <v>106</v>
      </c>
      <c r="J487" s="116" t="str">
        <f t="shared" si="7"/>
        <v>평일</v>
      </c>
    </row>
    <row r="488" spans="1:10" ht="21.75" hidden="1" customHeight="1" x14ac:dyDescent="0.25">
      <c r="A488" s="2">
        <v>2022</v>
      </c>
      <c r="B488" s="2">
        <v>2</v>
      </c>
      <c r="C488" s="2" t="s">
        <v>159</v>
      </c>
      <c r="D488" s="3">
        <v>44597</v>
      </c>
      <c r="E488" s="7">
        <v>0</v>
      </c>
      <c r="F488" s="2">
        <v>0</v>
      </c>
      <c r="G488" s="1"/>
      <c r="H488" s="1"/>
      <c r="I488" s="1">
        <v>107</v>
      </c>
      <c r="J488" s="116" t="str">
        <f t="shared" si="7"/>
        <v>주말</v>
      </c>
    </row>
    <row r="489" spans="1:10" ht="21.75" hidden="1" customHeight="1" x14ac:dyDescent="0.25">
      <c r="A489" s="2">
        <v>2022</v>
      </c>
      <c r="B489" s="2">
        <v>2</v>
      </c>
      <c r="C489" s="2" t="s">
        <v>160</v>
      </c>
      <c r="D489" s="3">
        <v>44598</v>
      </c>
      <c r="E489" s="7">
        <v>0</v>
      </c>
      <c r="F489" s="2">
        <v>0</v>
      </c>
      <c r="G489" s="1"/>
      <c r="H489" s="1"/>
      <c r="I489" s="1">
        <v>108</v>
      </c>
      <c r="J489" s="116" t="str">
        <f t="shared" si="7"/>
        <v>주말</v>
      </c>
    </row>
    <row r="490" spans="1:10" ht="21.75" hidden="1" customHeight="1" x14ac:dyDescent="0.25">
      <c r="A490" s="2">
        <v>2022</v>
      </c>
      <c r="B490" s="2">
        <v>2</v>
      </c>
      <c r="C490" s="2" t="s">
        <v>161</v>
      </c>
      <c r="D490" s="3">
        <v>44599</v>
      </c>
      <c r="E490" s="7">
        <v>0</v>
      </c>
      <c r="F490" s="2">
        <v>0</v>
      </c>
      <c r="G490" s="1"/>
      <c r="H490" s="1"/>
      <c r="I490" s="1">
        <v>109</v>
      </c>
      <c r="J490" s="116" t="str">
        <f t="shared" si="7"/>
        <v>평일</v>
      </c>
    </row>
    <row r="491" spans="1:10" ht="21.75" hidden="1" customHeight="1" x14ac:dyDescent="0.25">
      <c r="A491" s="2">
        <v>2022</v>
      </c>
      <c r="B491" s="2">
        <v>2</v>
      </c>
      <c r="C491" s="2" t="s">
        <v>162</v>
      </c>
      <c r="D491" s="3">
        <v>44600</v>
      </c>
      <c r="E491" s="7">
        <v>0</v>
      </c>
      <c r="F491" s="2">
        <v>0</v>
      </c>
      <c r="G491" s="1"/>
      <c r="H491" s="1"/>
      <c r="I491" s="1">
        <v>110</v>
      </c>
      <c r="J491" s="116" t="str">
        <f t="shared" si="7"/>
        <v>평일</v>
      </c>
    </row>
    <row r="492" spans="1:10" ht="21.75" hidden="1" customHeight="1" x14ac:dyDescent="0.25">
      <c r="A492" s="2">
        <v>2022</v>
      </c>
      <c r="B492" s="2">
        <v>2</v>
      </c>
      <c r="C492" s="2" t="s">
        <v>163</v>
      </c>
      <c r="D492" s="3">
        <v>44601</v>
      </c>
      <c r="E492" s="7">
        <v>0</v>
      </c>
      <c r="F492" s="2">
        <v>0</v>
      </c>
      <c r="G492" s="1"/>
      <c r="H492" s="1"/>
      <c r="I492" s="1">
        <v>111</v>
      </c>
      <c r="J492" s="116" t="str">
        <f t="shared" si="7"/>
        <v>평일</v>
      </c>
    </row>
    <row r="493" spans="1:10" ht="21.75" hidden="1" customHeight="1" x14ac:dyDescent="0.25">
      <c r="A493" s="2">
        <v>2022</v>
      </c>
      <c r="B493" s="2">
        <v>2</v>
      </c>
      <c r="C493" s="2" t="s">
        <v>157</v>
      </c>
      <c r="D493" s="3">
        <v>44602</v>
      </c>
      <c r="E493" s="7">
        <v>0</v>
      </c>
      <c r="F493" s="2">
        <v>0</v>
      </c>
      <c r="G493" s="1"/>
      <c r="H493" s="1"/>
      <c r="I493" s="1">
        <v>112</v>
      </c>
      <c r="J493" s="116" t="str">
        <f t="shared" si="7"/>
        <v>평일</v>
      </c>
    </row>
    <row r="494" spans="1:10" ht="21.75" hidden="1" customHeight="1" x14ac:dyDescent="0.25">
      <c r="A494" s="2">
        <v>2022</v>
      </c>
      <c r="B494" s="2">
        <v>2</v>
      </c>
      <c r="C494" s="2" t="s">
        <v>158</v>
      </c>
      <c r="D494" s="3">
        <v>44603</v>
      </c>
      <c r="E494" s="7">
        <v>0</v>
      </c>
      <c r="F494" s="2">
        <v>0</v>
      </c>
      <c r="G494" s="1"/>
      <c r="H494" s="1"/>
      <c r="I494" s="1">
        <v>113</v>
      </c>
      <c r="J494" s="116" t="str">
        <f t="shared" si="7"/>
        <v>평일</v>
      </c>
    </row>
    <row r="495" spans="1:10" ht="21.75" hidden="1" customHeight="1" x14ac:dyDescent="0.25">
      <c r="A495" s="2">
        <v>2022</v>
      </c>
      <c r="B495" s="2">
        <v>2</v>
      </c>
      <c r="C495" s="2" t="s">
        <v>159</v>
      </c>
      <c r="D495" s="3">
        <v>44604</v>
      </c>
      <c r="E495" s="7">
        <v>0</v>
      </c>
      <c r="F495" s="2">
        <v>0</v>
      </c>
      <c r="G495" s="1"/>
      <c r="H495" s="1"/>
      <c r="I495" s="1">
        <v>114</v>
      </c>
      <c r="J495" s="116" t="str">
        <f t="shared" si="7"/>
        <v>주말</v>
      </c>
    </row>
    <row r="496" spans="1:10" ht="21.75" hidden="1" customHeight="1" x14ac:dyDescent="0.25">
      <c r="A496" s="2">
        <v>2022</v>
      </c>
      <c r="B496" s="2">
        <v>2</v>
      </c>
      <c r="C496" s="2" t="s">
        <v>160</v>
      </c>
      <c r="D496" s="3">
        <v>44605</v>
      </c>
      <c r="E496" s="7">
        <v>0</v>
      </c>
      <c r="F496" s="2">
        <v>0</v>
      </c>
      <c r="G496" s="1"/>
      <c r="H496" s="1"/>
      <c r="I496" s="1">
        <v>115</v>
      </c>
      <c r="J496" s="116" t="str">
        <f t="shared" si="7"/>
        <v>주말</v>
      </c>
    </row>
    <row r="497" spans="1:10" ht="21.75" hidden="1" customHeight="1" x14ac:dyDescent="0.25">
      <c r="A497" s="2">
        <v>2022</v>
      </c>
      <c r="B497" s="2">
        <v>2</v>
      </c>
      <c r="C497" s="2" t="s">
        <v>161</v>
      </c>
      <c r="D497" s="3">
        <v>44606</v>
      </c>
      <c r="E497" s="7">
        <v>0</v>
      </c>
      <c r="F497" s="2">
        <v>0</v>
      </c>
      <c r="G497" s="1"/>
      <c r="H497" s="1"/>
      <c r="I497" s="1">
        <v>116</v>
      </c>
      <c r="J497" s="116" t="str">
        <f t="shared" si="7"/>
        <v>평일</v>
      </c>
    </row>
    <row r="498" spans="1:10" ht="21.75" hidden="1" customHeight="1" x14ac:dyDescent="0.25">
      <c r="A498" s="2">
        <v>2022</v>
      </c>
      <c r="B498" s="2">
        <v>2</v>
      </c>
      <c r="C498" s="2" t="s">
        <v>162</v>
      </c>
      <c r="D498" s="3">
        <v>44607</v>
      </c>
      <c r="E498" s="7">
        <v>0</v>
      </c>
      <c r="F498" s="2">
        <v>0</v>
      </c>
      <c r="G498" s="1"/>
      <c r="H498" s="1"/>
      <c r="I498" s="1">
        <v>117</v>
      </c>
      <c r="J498" s="116" t="str">
        <f t="shared" si="7"/>
        <v>평일</v>
      </c>
    </row>
    <row r="499" spans="1:10" ht="21.75" hidden="1" customHeight="1" x14ac:dyDescent="0.25">
      <c r="A499" s="2">
        <v>2022</v>
      </c>
      <c r="B499" s="2">
        <v>2</v>
      </c>
      <c r="C499" s="2" t="s">
        <v>163</v>
      </c>
      <c r="D499" s="3">
        <v>44608</v>
      </c>
      <c r="E499" s="7">
        <v>0</v>
      </c>
      <c r="F499" s="2">
        <v>0</v>
      </c>
      <c r="G499" s="1"/>
      <c r="H499" s="1"/>
      <c r="I499" s="1">
        <v>118</v>
      </c>
      <c r="J499" s="116" t="str">
        <f t="shared" si="7"/>
        <v>평일</v>
      </c>
    </row>
    <row r="500" spans="1:10" ht="21.75" hidden="1" customHeight="1" x14ac:dyDescent="0.25">
      <c r="A500" s="2">
        <v>2022</v>
      </c>
      <c r="B500" s="2">
        <v>2</v>
      </c>
      <c r="C500" s="2" t="s">
        <v>157</v>
      </c>
      <c r="D500" s="3">
        <v>44609</v>
      </c>
      <c r="E500" s="7">
        <v>0</v>
      </c>
      <c r="F500" s="2">
        <v>0</v>
      </c>
      <c r="G500" s="1"/>
      <c r="H500" s="1"/>
      <c r="I500" s="1">
        <v>119</v>
      </c>
      <c r="J500" s="116" t="str">
        <f t="shared" si="7"/>
        <v>평일</v>
      </c>
    </row>
    <row r="501" spans="1:10" ht="21.75" hidden="1" customHeight="1" x14ac:dyDescent="0.25">
      <c r="A501" s="2">
        <v>2022</v>
      </c>
      <c r="B501" s="2">
        <v>2</v>
      </c>
      <c r="C501" s="2" t="s">
        <v>158</v>
      </c>
      <c r="D501" s="3">
        <v>44610</v>
      </c>
      <c r="E501" s="7">
        <v>0</v>
      </c>
      <c r="F501" s="2">
        <v>0</v>
      </c>
      <c r="G501" s="1"/>
      <c r="H501" s="1"/>
      <c r="I501" s="1">
        <v>120</v>
      </c>
      <c r="J501" s="116" t="str">
        <f t="shared" si="7"/>
        <v>평일</v>
      </c>
    </row>
    <row r="502" spans="1:10" ht="21.75" hidden="1" customHeight="1" x14ac:dyDescent="0.25">
      <c r="A502" s="2">
        <v>2022</v>
      </c>
      <c r="B502" s="2">
        <v>2</v>
      </c>
      <c r="C502" s="2" t="s">
        <v>159</v>
      </c>
      <c r="D502" s="3">
        <v>44611</v>
      </c>
      <c r="E502" s="7">
        <v>0</v>
      </c>
      <c r="F502" s="2">
        <v>0</v>
      </c>
      <c r="G502" s="1"/>
      <c r="H502" s="1"/>
      <c r="I502" s="1">
        <v>121</v>
      </c>
      <c r="J502" s="116" t="str">
        <f t="shared" si="7"/>
        <v>주말</v>
      </c>
    </row>
    <row r="503" spans="1:10" ht="21.75" hidden="1" customHeight="1" x14ac:dyDescent="0.25">
      <c r="A503" s="2">
        <v>2022</v>
      </c>
      <c r="B503" s="2">
        <v>2</v>
      </c>
      <c r="C503" s="2" t="s">
        <v>160</v>
      </c>
      <c r="D503" s="3">
        <v>44612</v>
      </c>
      <c r="E503" s="7">
        <v>0</v>
      </c>
      <c r="F503" s="2">
        <v>0</v>
      </c>
      <c r="G503" s="1"/>
      <c r="H503" s="1"/>
      <c r="I503" s="1">
        <v>122</v>
      </c>
      <c r="J503" s="116" t="str">
        <f t="shared" si="7"/>
        <v>주말</v>
      </c>
    </row>
    <row r="504" spans="1:10" ht="21.75" hidden="1" customHeight="1" x14ac:dyDescent="0.25">
      <c r="A504" s="2">
        <v>2022</v>
      </c>
      <c r="B504" s="2">
        <v>2</v>
      </c>
      <c r="C504" s="2" t="s">
        <v>161</v>
      </c>
      <c r="D504" s="3">
        <v>44613</v>
      </c>
      <c r="E504" s="7">
        <v>0</v>
      </c>
      <c r="F504" s="2">
        <v>0</v>
      </c>
      <c r="G504" s="1"/>
      <c r="H504" s="1"/>
      <c r="I504" s="1">
        <v>123</v>
      </c>
      <c r="J504" s="116" t="str">
        <f t="shared" si="7"/>
        <v>평일</v>
      </c>
    </row>
    <row r="505" spans="1:10" ht="21.75" hidden="1" customHeight="1" x14ac:dyDescent="0.25">
      <c r="A505" s="2">
        <v>2022</v>
      </c>
      <c r="B505" s="2">
        <v>2</v>
      </c>
      <c r="C505" s="2" t="s">
        <v>162</v>
      </c>
      <c r="D505" s="3">
        <v>44614</v>
      </c>
      <c r="E505" s="7">
        <v>0</v>
      </c>
      <c r="F505" s="2">
        <v>0</v>
      </c>
      <c r="G505" s="1"/>
      <c r="H505" s="1"/>
      <c r="I505" s="1">
        <v>124</v>
      </c>
      <c r="J505" s="116" t="str">
        <f t="shared" si="7"/>
        <v>평일</v>
      </c>
    </row>
    <row r="506" spans="1:10" ht="21.75" hidden="1" customHeight="1" x14ac:dyDescent="0.25">
      <c r="A506" s="2">
        <v>2022</v>
      </c>
      <c r="B506" s="2">
        <v>2</v>
      </c>
      <c r="C506" s="2" t="s">
        <v>163</v>
      </c>
      <c r="D506" s="3">
        <v>44615</v>
      </c>
      <c r="E506" s="7">
        <v>0</v>
      </c>
      <c r="F506" s="2">
        <v>0</v>
      </c>
      <c r="G506" s="1"/>
      <c r="H506" s="1"/>
      <c r="I506" s="1">
        <v>125</v>
      </c>
      <c r="J506" s="116" t="str">
        <f t="shared" si="7"/>
        <v>평일</v>
      </c>
    </row>
    <row r="507" spans="1:10" ht="21.75" hidden="1" customHeight="1" x14ac:dyDescent="0.25">
      <c r="A507" s="2">
        <v>2022</v>
      </c>
      <c r="B507" s="2">
        <v>2</v>
      </c>
      <c r="C507" s="2" t="s">
        <v>157</v>
      </c>
      <c r="D507" s="3">
        <v>44616</v>
      </c>
      <c r="E507" s="7">
        <v>0</v>
      </c>
      <c r="F507" s="2">
        <v>0</v>
      </c>
      <c r="G507" s="1"/>
      <c r="H507" s="1"/>
      <c r="I507" s="1">
        <v>126</v>
      </c>
      <c r="J507" s="116" t="str">
        <f t="shared" si="7"/>
        <v>평일</v>
      </c>
    </row>
    <row r="508" spans="1:10" ht="21.75" hidden="1" customHeight="1" x14ac:dyDescent="0.25">
      <c r="A508" s="2">
        <v>2022</v>
      </c>
      <c r="B508" s="2">
        <v>2</v>
      </c>
      <c r="C508" s="2" t="s">
        <v>158</v>
      </c>
      <c r="D508" s="3">
        <v>44617</v>
      </c>
      <c r="E508" s="7">
        <v>0</v>
      </c>
      <c r="F508" s="2">
        <v>0</v>
      </c>
      <c r="G508" s="1"/>
      <c r="H508" s="1"/>
      <c r="I508" s="1">
        <v>127</v>
      </c>
      <c r="J508" s="116" t="str">
        <f t="shared" si="7"/>
        <v>평일</v>
      </c>
    </row>
    <row r="509" spans="1:10" ht="21.75" hidden="1" customHeight="1" x14ac:dyDescent="0.25">
      <c r="A509" s="2">
        <v>2022</v>
      </c>
      <c r="B509" s="2">
        <v>2</v>
      </c>
      <c r="C509" s="2" t="s">
        <v>159</v>
      </c>
      <c r="D509" s="3">
        <v>44618</v>
      </c>
      <c r="E509" s="7">
        <v>0</v>
      </c>
      <c r="F509" s="2">
        <v>0</v>
      </c>
      <c r="G509" s="1"/>
      <c r="H509" s="1"/>
      <c r="I509" s="1">
        <v>128</v>
      </c>
      <c r="J509" s="116" t="str">
        <f t="shared" si="7"/>
        <v>주말</v>
      </c>
    </row>
    <row r="510" spans="1:10" ht="21.75" hidden="1" customHeight="1" x14ac:dyDescent="0.25">
      <c r="A510" s="2">
        <v>2022</v>
      </c>
      <c r="B510" s="2">
        <v>2</v>
      </c>
      <c r="C510" s="2" t="s">
        <v>160</v>
      </c>
      <c r="D510" s="3">
        <v>44619</v>
      </c>
      <c r="E510" s="7">
        <v>0</v>
      </c>
      <c r="F510" s="2">
        <v>0</v>
      </c>
      <c r="G510" s="1"/>
      <c r="H510" s="1"/>
      <c r="I510" s="1">
        <v>129</v>
      </c>
      <c r="J510" s="116" t="str">
        <f t="shared" si="7"/>
        <v>주말</v>
      </c>
    </row>
    <row r="511" spans="1:10" ht="21.75" hidden="1" customHeight="1" x14ac:dyDescent="0.25">
      <c r="A511" s="2">
        <v>2022</v>
      </c>
      <c r="B511" s="2">
        <v>2</v>
      </c>
      <c r="C511" s="2" t="s">
        <v>161</v>
      </c>
      <c r="D511" s="3">
        <v>44620</v>
      </c>
      <c r="E511" s="7">
        <v>285</v>
      </c>
      <c r="F511" s="2" t="s">
        <v>10</v>
      </c>
      <c r="G511" s="1">
        <v>31</v>
      </c>
      <c r="H511" s="6">
        <v>254</v>
      </c>
      <c r="I511" s="1">
        <v>1</v>
      </c>
      <c r="J511" s="116" t="str">
        <f t="shared" si="7"/>
        <v>평일</v>
      </c>
    </row>
    <row r="512" spans="1:10" ht="21.75" hidden="1" customHeight="1" x14ac:dyDescent="0.25">
      <c r="A512" s="2">
        <v>2022</v>
      </c>
      <c r="B512" s="2">
        <v>3</v>
      </c>
      <c r="C512" s="2" t="s">
        <v>162</v>
      </c>
      <c r="D512" s="3">
        <v>44621</v>
      </c>
      <c r="E512" s="7">
        <v>356</v>
      </c>
      <c r="F512" s="2" t="s">
        <v>10</v>
      </c>
      <c r="G512" s="1">
        <v>19</v>
      </c>
      <c r="H512" s="6">
        <v>337</v>
      </c>
      <c r="I512" s="1">
        <v>2</v>
      </c>
      <c r="J512" s="116" t="str">
        <f t="shared" si="7"/>
        <v>평일</v>
      </c>
    </row>
    <row r="513" spans="1:10" ht="21.75" hidden="1" customHeight="1" x14ac:dyDescent="0.25">
      <c r="A513" s="2">
        <v>2022</v>
      </c>
      <c r="B513" s="2">
        <v>3</v>
      </c>
      <c r="C513" s="2" t="s">
        <v>163</v>
      </c>
      <c r="D513" s="3">
        <v>44622</v>
      </c>
      <c r="E513" s="7">
        <v>130</v>
      </c>
      <c r="F513" s="2" t="s">
        <v>10</v>
      </c>
      <c r="G513" s="1">
        <v>26</v>
      </c>
      <c r="H513" s="6">
        <v>104</v>
      </c>
      <c r="I513" s="1">
        <v>3</v>
      </c>
      <c r="J513" s="116" t="str">
        <f t="shared" si="7"/>
        <v>평일</v>
      </c>
    </row>
    <row r="514" spans="1:10" ht="21.75" hidden="1" customHeight="1" x14ac:dyDescent="0.25">
      <c r="A514" s="2">
        <v>2022</v>
      </c>
      <c r="B514" s="2">
        <v>3</v>
      </c>
      <c r="C514" s="2" t="s">
        <v>157</v>
      </c>
      <c r="D514" s="3">
        <v>44623</v>
      </c>
      <c r="E514" s="7">
        <v>107</v>
      </c>
      <c r="F514" s="2" t="s">
        <v>10</v>
      </c>
      <c r="G514" s="1">
        <v>13</v>
      </c>
      <c r="H514" s="6">
        <v>94</v>
      </c>
      <c r="I514" s="1">
        <v>4</v>
      </c>
      <c r="J514" s="116" t="str">
        <f t="shared" si="7"/>
        <v>평일</v>
      </c>
    </row>
    <row r="515" spans="1:10" ht="21.75" hidden="1" customHeight="1" x14ac:dyDescent="0.25">
      <c r="A515" s="2">
        <v>2022</v>
      </c>
      <c r="B515" s="2">
        <v>3</v>
      </c>
      <c r="C515" s="2" t="s">
        <v>158</v>
      </c>
      <c r="D515" s="3">
        <v>44624</v>
      </c>
      <c r="E515" s="7">
        <v>143</v>
      </c>
      <c r="F515" s="2" t="s">
        <v>10</v>
      </c>
      <c r="G515" s="1">
        <v>25</v>
      </c>
      <c r="H515" s="6">
        <v>118</v>
      </c>
      <c r="I515" s="1">
        <v>5</v>
      </c>
      <c r="J515" s="116" t="str">
        <f t="shared" ref="J515:J578" si="8">+IF(OR(C515="토",C515="일"),"주말","평일")</f>
        <v>평일</v>
      </c>
    </row>
    <row r="516" spans="1:10" ht="21.75" hidden="1" customHeight="1" x14ac:dyDescent="0.25">
      <c r="A516" s="2">
        <v>2022</v>
      </c>
      <c r="B516" s="2">
        <v>3</v>
      </c>
      <c r="C516" s="2" t="s">
        <v>159</v>
      </c>
      <c r="D516" s="3">
        <v>44625</v>
      </c>
      <c r="E516" s="7">
        <v>509</v>
      </c>
      <c r="F516" s="2" t="s">
        <v>10</v>
      </c>
      <c r="G516" s="1">
        <v>35</v>
      </c>
      <c r="H516" s="6">
        <v>474</v>
      </c>
      <c r="I516" s="1">
        <v>6</v>
      </c>
      <c r="J516" s="116" t="str">
        <f t="shared" si="8"/>
        <v>주말</v>
      </c>
    </row>
    <row r="517" spans="1:10" ht="21.75" hidden="1" customHeight="1" x14ac:dyDescent="0.25">
      <c r="A517" s="2">
        <v>2022</v>
      </c>
      <c r="B517" s="2">
        <v>3</v>
      </c>
      <c r="C517" s="2" t="s">
        <v>160</v>
      </c>
      <c r="D517" s="3">
        <v>44626</v>
      </c>
      <c r="E517" s="7">
        <v>390</v>
      </c>
      <c r="F517" s="2" t="s">
        <v>10</v>
      </c>
      <c r="G517" s="1">
        <v>41</v>
      </c>
      <c r="H517" s="6">
        <v>349</v>
      </c>
      <c r="I517" s="1">
        <v>7</v>
      </c>
      <c r="J517" s="116" t="str">
        <f t="shared" si="8"/>
        <v>주말</v>
      </c>
    </row>
    <row r="518" spans="1:10" ht="21.75" hidden="1" customHeight="1" x14ac:dyDescent="0.25">
      <c r="A518" s="2">
        <v>2022</v>
      </c>
      <c r="B518" s="2">
        <v>3</v>
      </c>
      <c r="C518" s="2" t="s">
        <v>161</v>
      </c>
      <c r="D518" s="3">
        <v>44627</v>
      </c>
      <c r="E518" s="7">
        <v>0</v>
      </c>
      <c r="F518" s="2" t="s">
        <v>10</v>
      </c>
      <c r="G518" s="1">
        <v>0</v>
      </c>
      <c r="H518" s="6">
        <v>0</v>
      </c>
      <c r="I518" s="1">
        <v>8</v>
      </c>
      <c r="J518" s="116" t="str">
        <f t="shared" si="8"/>
        <v>평일</v>
      </c>
    </row>
    <row r="519" spans="1:10" ht="21.75" hidden="1" customHeight="1" x14ac:dyDescent="0.25">
      <c r="A519" s="2">
        <v>2022</v>
      </c>
      <c r="B519" s="2">
        <v>3</v>
      </c>
      <c r="C519" s="2" t="s">
        <v>162</v>
      </c>
      <c r="D519" s="3">
        <v>44628</v>
      </c>
      <c r="E519" s="7">
        <v>129</v>
      </c>
      <c r="F519" s="2" t="s">
        <v>10</v>
      </c>
      <c r="G519" s="1">
        <v>3</v>
      </c>
      <c r="H519" s="6">
        <v>126</v>
      </c>
      <c r="I519" s="1">
        <v>9</v>
      </c>
      <c r="J519" s="116" t="str">
        <f t="shared" si="8"/>
        <v>평일</v>
      </c>
    </row>
    <row r="520" spans="1:10" ht="21.75" hidden="1" customHeight="1" x14ac:dyDescent="0.25">
      <c r="A520" s="2">
        <v>2022</v>
      </c>
      <c r="B520" s="2">
        <v>3</v>
      </c>
      <c r="C520" s="2" t="s">
        <v>163</v>
      </c>
      <c r="D520" s="3">
        <v>44629</v>
      </c>
      <c r="E520" s="7">
        <v>469</v>
      </c>
      <c r="F520" s="2" t="s">
        <v>10</v>
      </c>
      <c r="G520" s="1">
        <v>43</v>
      </c>
      <c r="H520" s="6">
        <v>426</v>
      </c>
      <c r="I520" s="1">
        <v>10</v>
      </c>
      <c r="J520" s="116" t="str">
        <f t="shared" si="8"/>
        <v>평일</v>
      </c>
    </row>
    <row r="521" spans="1:10" ht="21.75" hidden="1" customHeight="1" x14ac:dyDescent="0.25">
      <c r="A521" s="2">
        <v>2022</v>
      </c>
      <c r="B521" s="2">
        <v>3</v>
      </c>
      <c r="C521" s="2" t="s">
        <v>157</v>
      </c>
      <c r="D521" s="3">
        <v>44630</v>
      </c>
      <c r="E521" s="7">
        <v>135</v>
      </c>
      <c r="F521" s="2" t="s">
        <v>10</v>
      </c>
      <c r="G521" s="1">
        <v>8</v>
      </c>
      <c r="H521" s="6">
        <v>127</v>
      </c>
      <c r="I521" s="1">
        <v>11</v>
      </c>
      <c r="J521" s="116" t="str">
        <f t="shared" si="8"/>
        <v>평일</v>
      </c>
    </row>
    <row r="522" spans="1:10" ht="21.75" hidden="1" customHeight="1" x14ac:dyDescent="0.25">
      <c r="A522" s="2">
        <v>2022</v>
      </c>
      <c r="B522" s="2">
        <v>3</v>
      </c>
      <c r="C522" s="2" t="s">
        <v>158</v>
      </c>
      <c r="D522" s="3">
        <v>44631</v>
      </c>
      <c r="E522" s="7">
        <v>181</v>
      </c>
      <c r="F522" s="2" t="s">
        <v>10</v>
      </c>
      <c r="G522" s="1">
        <v>20</v>
      </c>
      <c r="H522" s="6">
        <v>161</v>
      </c>
      <c r="I522" s="1">
        <v>12</v>
      </c>
      <c r="J522" s="116" t="str">
        <f t="shared" si="8"/>
        <v>평일</v>
      </c>
    </row>
    <row r="523" spans="1:10" ht="21.75" hidden="1" customHeight="1" x14ac:dyDescent="0.25">
      <c r="A523" s="2">
        <v>2022</v>
      </c>
      <c r="B523" s="2">
        <v>3</v>
      </c>
      <c r="C523" s="2" t="s">
        <v>159</v>
      </c>
      <c r="D523" s="3">
        <v>44632</v>
      </c>
      <c r="E523" s="7">
        <v>569</v>
      </c>
      <c r="F523" s="2" t="s">
        <v>10</v>
      </c>
      <c r="G523" s="1">
        <v>39</v>
      </c>
      <c r="H523" s="6">
        <v>530</v>
      </c>
      <c r="I523" s="1">
        <v>13</v>
      </c>
      <c r="J523" s="116" t="str">
        <f t="shared" si="8"/>
        <v>주말</v>
      </c>
    </row>
    <row r="524" spans="1:10" ht="21.75" hidden="1" customHeight="1" x14ac:dyDescent="0.25">
      <c r="A524" s="2">
        <v>2022</v>
      </c>
      <c r="B524" s="2">
        <v>3</v>
      </c>
      <c r="C524" s="2" t="s">
        <v>160</v>
      </c>
      <c r="D524" s="3">
        <v>44633</v>
      </c>
      <c r="E524" s="7">
        <v>470</v>
      </c>
      <c r="F524" s="2" t="s">
        <v>10</v>
      </c>
      <c r="G524" s="1">
        <v>34</v>
      </c>
      <c r="H524" s="6">
        <v>436</v>
      </c>
      <c r="I524" s="1">
        <v>14</v>
      </c>
      <c r="J524" s="116" t="str">
        <f t="shared" si="8"/>
        <v>주말</v>
      </c>
    </row>
    <row r="525" spans="1:10" ht="21.75" hidden="1" customHeight="1" x14ac:dyDescent="0.25">
      <c r="A525" s="2">
        <v>2022</v>
      </c>
      <c r="B525" s="2">
        <v>3</v>
      </c>
      <c r="C525" s="2" t="s">
        <v>161</v>
      </c>
      <c r="D525" s="3">
        <v>44634</v>
      </c>
      <c r="E525" s="7">
        <v>131</v>
      </c>
      <c r="F525" s="2" t="s">
        <v>10</v>
      </c>
      <c r="G525" s="1">
        <v>5</v>
      </c>
      <c r="H525" s="6">
        <v>126</v>
      </c>
      <c r="I525" s="1">
        <v>15</v>
      </c>
      <c r="J525" s="116" t="str">
        <f t="shared" si="8"/>
        <v>평일</v>
      </c>
    </row>
    <row r="526" spans="1:10" ht="21.75" hidden="1" customHeight="1" x14ac:dyDescent="0.25">
      <c r="A526" s="2">
        <v>2022</v>
      </c>
      <c r="B526" s="2">
        <v>3</v>
      </c>
      <c r="C526" s="2" t="s">
        <v>162</v>
      </c>
      <c r="D526" s="3">
        <v>44635</v>
      </c>
      <c r="E526" s="7">
        <v>137</v>
      </c>
      <c r="F526" s="2" t="s">
        <v>10</v>
      </c>
      <c r="G526" s="1">
        <v>14</v>
      </c>
      <c r="H526" s="6">
        <v>123</v>
      </c>
      <c r="I526" s="1">
        <v>16</v>
      </c>
      <c r="J526" s="116" t="str">
        <f t="shared" si="8"/>
        <v>평일</v>
      </c>
    </row>
    <row r="527" spans="1:10" ht="21.75" hidden="1" customHeight="1" x14ac:dyDescent="0.25">
      <c r="A527" s="2">
        <v>2022</v>
      </c>
      <c r="B527" s="2">
        <v>3</v>
      </c>
      <c r="C527" s="2" t="s">
        <v>163</v>
      </c>
      <c r="D527" s="3">
        <v>44636</v>
      </c>
      <c r="E527" s="7">
        <v>174</v>
      </c>
      <c r="F527" s="2" t="s">
        <v>10</v>
      </c>
      <c r="G527" s="1">
        <v>6</v>
      </c>
      <c r="H527" s="6">
        <v>168</v>
      </c>
      <c r="I527" s="1">
        <v>17</v>
      </c>
      <c r="J527" s="116" t="str">
        <f t="shared" si="8"/>
        <v>평일</v>
      </c>
    </row>
    <row r="528" spans="1:10" ht="21.75" hidden="1" customHeight="1" x14ac:dyDescent="0.25">
      <c r="A528" s="2">
        <v>2022</v>
      </c>
      <c r="B528" s="2">
        <v>3</v>
      </c>
      <c r="C528" s="2" t="s">
        <v>157</v>
      </c>
      <c r="D528" s="3">
        <v>44637</v>
      </c>
      <c r="E528" s="7">
        <v>119</v>
      </c>
      <c r="F528" s="2" t="s">
        <v>10</v>
      </c>
      <c r="G528" s="1">
        <v>7</v>
      </c>
      <c r="H528" s="6">
        <v>112</v>
      </c>
      <c r="I528" s="1">
        <v>18</v>
      </c>
      <c r="J528" s="116" t="str">
        <f t="shared" si="8"/>
        <v>평일</v>
      </c>
    </row>
    <row r="529" spans="1:14" ht="21.75" hidden="1" customHeight="1" x14ac:dyDescent="0.25">
      <c r="A529" s="2">
        <v>2022</v>
      </c>
      <c r="B529" s="2">
        <v>3</v>
      </c>
      <c r="C529" s="2" t="s">
        <v>158</v>
      </c>
      <c r="D529" s="3">
        <v>44638</v>
      </c>
      <c r="E529" s="7">
        <v>230</v>
      </c>
      <c r="F529" s="2" t="s">
        <v>10</v>
      </c>
      <c r="G529" s="1">
        <v>11</v>
      </c>
      <c r="H529" s="6">
        <v>219</v>
      </c>
      <c r="I529" s="1">
        <v>19</v>
      </c>
      <c r="J529" s="116" t="str">
        <f t="shared" si="8"/>
        <v>평일</v>
      </c>
    </row>
    <row r="530" spans="1:14" ht="21.75" hidden="1" customHeight="1" x14ac:dyDescent="0.25">
      <c r="A530" s="2">
        <v>2022</v>
      </c>
      <c r="B530" s="2">
        <v>3</v>
      </c>
      <c r="C530" s="2" t="s">
        <v>159</v>
      </c>
      <c r="D530" s="3">
        <v>44639</v>
      </c>
      <c r="E530" s="7">
        <v>661</v>
      </c>
      <c r="F530" s="2" t="s">
        <v>10</v>
      </c>
      <c r="G530" s="1">
        <v>99</v>
      </c>
      <c r="H530" s="6">
        <v>562</v>
      </c>
      <c r="I530" s="1">
        <v>20</v>
      </c>
      <c r="J530" s="116" t="str">
        <f t="shared" si="8"/>
        <v>주말</v>
      </c>
    </row>
    <row r="531" spans="1:14" ht="21.75" hidden="1" customHeight="1" x14ac:dyDescent="0.25">
      <c r="A531" s="2">
        <v>2022</v>
      </c>
      <c r="B531" s="2">
        <v>3</v>
      </c>
      <c r="C531" s="2" t="s">
        <v>160</v>
      </c>
      <c r="D531" s="3">
        <v>44640</v>
      </c>
      <c r="E531" s="7">
        <v>559</v>
      </c>
      <c r="F531" s="2" t="s">
        <v>10</v>
      </c>
      <c r="G531" s="1">
        <v>49</v>
      </c>
      <c r="H531" s="6">
        <v>510</v>
      </c>
      <c r="I531" s="1">
        <v>21</v>
      </c>
      <c r="J531" s="116" t="str">
        <f t="shared" si="8"/>
        <v>주말</v>
      </c>
    </row>
    <row r="532" spans="1:14" ht="21.75" hidden="1" customHeight="1" x14ac:dyDescent="0.25">
      <c r="A532" s="2">
        <v>2022</v>
      </c>
      <c r="B532" s="2">
        <v>3</v>
      </c>
      <c r="C532" s="2" t="s">
        <v>161</v>
      </c>
      <c r="D532" s="3">
        <v>44641</v>
      </c>
      <c r="E532" s="7">
        <v>202</v>
      </c>
      <c r="F532" s="2" t="s">
        <v>10</v>
      </c>
      <c r="G532" s="1">
        <v>17</v>
      </c>
      <c r="H532" s="6">
        <v>185</v>
      </c>
      <c r="I532" s="1">
        <v>22</v>
      </c>
      <c r="J532" s="116" t="str">
        <f t="shared" si="8"/>
        <v>평일</v>
      </c>
    </row>
    <row r="533" spans="1:14" ht="21.75" hidden="1" customHeight="1" x14ac:dyDescent="0.25">
      <c r="A533" s="2">
        <v>2022</v>
      </c>
      <c r="B533" s="2">
        <v>3</v>
      </c>
      <c r="C533" s="2" t="s">
        <v>162</v>
      </c>
      <c r="D533" s="3">
        <v>44642</v>
      </c>
      <c r="E533" s="7">
        <v>184</v>
      </c>
      <c r="F533" s="2" t="s">
        <v>10</v>
      </c>
      <c r="G533" s="1">
        <v>10</v>
      </c>
      <c r="H533" s="6">
        <v>174</v>
      </c>
      <c r="I533" s="1">
        <v>23</v>
      </c>
      <c r="J533" s="116" t="str">
        <f t="shared" si="8"/>
        <v>평일</v>
      </c>
    </row>
    <row r="534" spans="1:14" ht="21.75" hidden="1" customHeight="1" x14ac:dyDescent="0.25">
      <c r="A534" s="2">
        <v>2022</v>
      </c>
      <c r="B534" s="2">
        <v>3</v>
      </c>
      <c r="C534" s="2" t="s">
        <v>163</v>
      </c>
      <c r="D534" s="3">
        <v>44643</v>
      </c>
      <c r="E534" s="7">
        <v>128</v>
      </c>
      <c r="F534" s="2" t="s">
        <v>10</v>
      </c>
      <c r="G534" s="1">
        <v>13</v>
      </c>
      <c r="H534" s="6">
        <v>115</v>
      </c>
      <c r="I534" s="1">
        <v>24</v>
      </c>
      <c r="J534" s="116" t="str">
        <f t="shared" si="8"/>
        <v>평일</v>
      </c>
    </row>
    <row r="535" spans="1:14" ht="21.75" hidden="1" customHeight="1" x14ac:dyDescent="0.25">
      <c r="A535" s="2">
        <v>2022</v>
      </c>
      <c r="B535" s="2">
        <v>3</v>
      </c>
      <c r="C535" s="2" t="s">
        <v>157</v>
      </c>
      <c r="D535" s="3">
        <v>44644</v>
      </c>
      <c r="E535" s="7">
        <v>160</v>
      </c>
      <c r="F535" s="2" t="s">
        <v>10</v>
      </c>
      <c r="G535" s="1">
        <v>15</v>
      </c>
      <c r="H535" s="6">
        <v>145</v>
      </c>
      <c r="I535" s="1">
        <v>25</v>
      </c>
      <c r="J535" s="116" t="str">
        <f t="shared" si="8"/>
        <v>평일</v>
      </c>
    </row>
    <row r="536" spans="1:14" ht="21.75" hidden="1" customHeight="1" x14ac:dyDescent="0.25">
      <c r="A536" s="2">
        <v>2022</v>
      </c>
      <c r="B536" s="2">
        <v>3</v>
      </c>
      <c r="C536" s="2" t="s">
        <v>158</v>
      </c>
      <c r="D536" s="3">
        <v>44645</v>
      </c>
      <c r="E536" s="7">
        <v>203</v>
      </c>
      <c r="F536" s="2" t="s">
        <v>10</v>
      </c>
      <c r="G536" s="1">
        <v>19</v>
      </c>
      <c r="H536" s="6">
        <v>184</v>
      </c>
      <c r="I536" s="1">
        <v>26</v>
      </c>
      <c r="J536" s="116" t="str">
        <f t="shared" si="8"/>
        <v>평일</v>
      </c>
    </row>
    <row r="537" spans="1:14" ht="21.75" hidden="1" customHeight="1" x14ac:dyDescent="0.25">
      <c r="A537" s="2">
        <v>2022</v>
      </c>
      <c r="B537" s="2">
        <v>3</v>
      </c>
      <c r="C537" s="2" t="s">
        <v>159</v>
      </c>
      <c r="D537" s="3">
        <v>44646</v>
      </c>
      <c r="E537" s="7">
        <v>841</v>
      </c>
      <c r="F537" s="2" t="s">
        <v>10</v>
      </c>
      <c r="G537" s="1">
        <v>78</v>
      </c>
      <c r="H537" s="6">
        <v>763</v>
      </c>
      <c r="I537" s="1">
        <v>27</v>
      </c>
      <c r="J537" s="116" t="str">
        <f t="shared" si="8"/>
        <v>주말</v>
      </c>
      <c r="N537" s="161"/>
    </row>
    <row r="538" spans="1:14" ht="21.75" hidden="1" customHeight="1" x14ac:dyDescent="0.25">
      <c r="A538" s="2">
        <v>2022</v>
      </c>
      <c r="B538" s="2">
        <v>3</v>
      </c>
      <c r="C538" s="2" t="s">
        <v>160</v>
      </c>
      <c r="D538" s="3">
        <v>44647</v>
      </c>
      <c r="E538" s="7">
        <v>701</v>
      </c>
      <c r="F538" s="2" t="s">
        <v>10</v>
      </c>
      <c r="G538" s="1">
        <v>72</v>
      </c>
      <c r="H538" s="6">
        <v>629</v>
      </c>
      <c r="I538" s="1">
        <v>28</v>
      </c>
      <c r="J538" s="116" t="str">
        <f t="shared" si="8"/>
        <v>주말</v>
      </c>
    </row>
    <row r="539" spans="1:14" ht="21.75" hidden="1" customHeight="1" x14ac:dyDescent="0.25">
      <c r="A539" s="2">
        <v>2022</v>
      </c>
      <c r="B539" s="2">
        <v>3</v>
      </c>
      <c r="C539" s="2" t="s">
        <v>161</v>
      </c>
      <c r="D539" s="3">
        <v>44648</v>
      </c>
      <c r="E539" s="7">
        <v>250</v>
      </c>
      <c r="F539" s="2" t="s">
        <v>10</v>
      </c>
      <c r="G539" s="1">
        <v>16</v>
      </c>
      <c r="H539" s="6">
        <v>234</v>
      </c>
      <c r="I539" s="1">
        <v>29</v>
      </c>
      <c r="J539" s="116" t="str">
        <f t="shared" si="8"/>
        <v>평일</v>
      </c>
    </row>
    <row r="540" spans="1:14" ht="21.75" hidden="1" customHeight="1" x14ac:dyDescent="0.25">
      <c r="A540" s="2">
        <v>2022</v>
      </c>
      <c r="B540" s="2">
        <v>3</v>
      </c>
      <c r="C540" s="2" t="s">
        <v>162</v>
      </c>
      <c r="D540" s="3">
        <v>44649</v>
      </c>
      <c r="E540" s="7">
        <v>240</v>
      </c>
      <c r="F540" s="2" t="s">
        <v>10</v>
      </c>
      <c r="G540" s="1">
        <v>20</v>
      </c>
      <c r="H540" s="6">
        <v>220</v>
      </c>
      <c r="I540" s="1">
        <v>30</v>
      </c>
      <c r="J540" s="116" t="str">
        <f t="shared" si="8"/>
        <v>평일</v>
      </c>
    </row>
    <row r="541" spans="1:14" ht="21.75" hidden="1" customHeight="1" x14ac:dyDescent="0.25">
      <c r="A541" s="2">
        <v>2022</v>
      </c>
      <c r="B541" s="2">
        <v>3</v>
      </c>
      <c r="C541" s="2" t="s">
        <v>163</v>
      </c>
      <c r="D541" s="3">
        <v>44650</v>
      </c>
      <c r="E541" s="7">
        <v>419</v>
      </c>
      <c r="F541" s="2" t="s">
        <v>10</v>
      </c>
      <c r="G541" s="1">
        <v>41</v>
      </c>
      <c r="H541" s="6">
        <v>378</v>
      </c>
      <c r="I541" s="1">
        <v>31</v>
      </c>
      <c r="J541" s="116" t="str">
        <f t="shared" si="8"/>
        <v>평일</v>
      </c>
    </row>
    <row r="542" spans="1:14" ht="21.75" hidden="1" customHeight="1" x14ac:dyDescent="0.25">
      <c r="A542" s="2">
        <v>2022</v>
      </c>
      <c r="B542" s="2">
        <v>3</v>
      </c>
      <c r="C542" s="2" t="s">
        <v>157</v>
      </c>
      <c r="D542" s="3">
        <v>44651</v>
      </c>
      <c r="E542" s="7">
        <v>457</v>
      </c>
      <c r="F542" s="2" t="s">
        <v>10</v>
      </c>
      <c r="G542" s="1">
        <v>39</v>
      </c>
      <c r="H542" s="6">
        <v>418</v>
      </c>
      <c r="I542" s="1">
        <v>32</v>
      </c>
      <c r="J542" s="116" t="str">
        <f t="shared" si="8"/>
        <v>평일</v>
      </c>
    </row>
    <row r="543" spans="1:14" ht="21.75" hidden="1" customHeight="1" x14ac:dyDescent="0.25">
      <c r="A543" s="2">
        <v>2022</v>
      </c>
      <c r="B543" s="2">
        <v>4</v>
      </c>
      <c r="C543" s="2" t="s">
        <v>158</v>
      </c>
      <c r="D543" s="3">
        <v>44652</v>
      </c>
      <c r="E543" s="7">
        <v>210</v>
      </c>
      <c r="F543" s="2" t="s">
        <v>10</v>
      </c>
      <c r="G543" s="1">
        <v>36</v>
      </c>
      <c r="H543" s="6">
        <v>174</v>
      </c>
      <c r="I543" s="1">
        <v>33</v>
      </c>
      <c r="J543" s="116" t="str">
        <f t="shared" si="8"/>
        <v>평일</v>
      </c>
    </row>
    <row r="544" spans="1:14" ht="21.75" hidden="1" customHeight="1" x14ac:dyDescent="0.25">
      <c r="A544" s="2">
        <v>2022</v>
      </c>
      <c r="B544" s="2">
        <v>4</v>
      </c>
      <c r="C544" s="2" t="s">
        <v>159</v>
      </c>
      <c r="D544" s="3">
        <v>44653</v>
      </c>
      <c r="E544" s="7">
        <v>558</v>
      </c>
      <c r="F544" s="2" t="s">
        <v>10</v>
      </c>
      <c r="G544" s="1">
        <v>74</v>
      </c>
      <c r="H544" s="6">
        <v>484</v>
      </c>
      <c r="I544" s="1">
        <v>34</v>
      </c>
      <c r="J544" s="116" t="str">
        <f t="shared" si="8"/>
        <v>주말</v>
      </c>
    </row>
    <row r="545" spans="1:10" ht="21.75" hidden="1" customHeight="1" x14ac:dyDescent="0.25">
      <c r="A545" s="2">
        <v>2022</v>
      </c>
      <c r="B545" s="2">
        <v>4</v>
      </c>
      <c r="C545" s="2" t="s">
        <v>160</v>
      </c>
      <c r="D545" s="3">
        <v>44654</v>
      </c>
      <c r="E545" s="7">
        <v>423</v>
      </c>
      <c r="F545" s="2" t="s">
        <v>10</v>
      </c>
      <c r="G545" s="1">
        <v>60</v>
      </c>
      <c r="H545" s="6">
        <v>363</v>
      </c>
      <c r="I545" s="1">
        <v>35</v>
      </c>
      <c r="J545" s="116" t="str">
        <f t="shared" si="8"/>
        <v>주말</v>
      </c>
    </row>
    <row r="546" spans="1:10" ht="21.75" hidden="1" customHeight="1" x14ac:dyDescent="0.25">
      <c r="A546" s="2">
        <v>2022</v>
      </c>
      <c r="B546" s="2">
        <v>4</v>
      </c>
      <c r="C546" s="2" t="s">
        <v>161</v>
      </c>
      <c r="D546" s="3">
        <v>44655</v>
      </c>
      <c r="E546" s="7">
        <v>160</v>
      </c>
      <c r="F546" s="2" t="s">
        <v>10</v>
      </c>
      <c r="G546" s="1">
        <v>28</v>
      </c>
      <c r="H546" s="6">
        <v>132</v>
      </c>
      <c r="I546" s="1">
        <v>36</v>
      </c>
      <c r="J546" s="116" t="str">
        <f t="shared" si="8"/>
        <v>평일</v>
      </c>
    </row>
    <row r="547" spans="1:10" ht="21.75" hidden="1" customHeight="1" x14ac:dyDescent="0.25">
      <c r="A547" s="2">
        <v>2022</v>
      </c>
      <c r="B547" s="2">
        <v>4</v>
      </c>
      <c r="C547" s="2" t="s">
        <v>162</v>
      </c>
      <c r="D547" s="3">
        <v>44656</v>
      </c>
      <c r="E547" s="7">
        <v>194</v>
      </c>
      <c r="F547" s="2" t="s">
        <v>10</v>
      </c>
      <c r="G547" s="1">
        <v>29</v>
      </c>
      <c r="H547" s="6">
        <v>165</v>
      </c>
      <c r="I547" s="1">
        <v>37</v>
      </c>
      <c r="J547" s="116" t="str">
        <f t="shared" si="8"/>
        <v>평일</v>
      </c>
    </row>
    <row r="548" spans="1:10" ht="21.75" hidden="1" customHeight="1" x14ac:dyDescent="0.25">
      <c r="A548" s="2">
        <v>2022</v>
      </c>
      <c r="B548" s="2">
        <v>4</v>
      </c>
      <c r="C548" s="2" t="s">
        <v>163</v>
      </c>
      <c r="D548" s="3">
        <v>44657</v>
      </c>
      <c r="E548" s="7">
        <v>163</v>
      </c>
      <c r="F548" s="2" t="s">
        <v>10</v>
      </c>
      <c r="G548" s="1">
        <v>26</v>
      </c>
      <c r="H548" s="6">
        <v>137</v>
      </c>
      <c r="I548" s="1">
        <v>38</v>
      </c>
      <c r="J548" s="116" t="str">
        <f t="shared" si="8"/>
        <v>평일</v>
      </c>
    </row>
    <row r="549" spans="1:10" ht="21.75" hidden="1" customHeight="1" x14ac:dyDescent="0.25">
      <c r="A549" s="2">
        <v>2022</v>
      </c>
      <c r="B549" s="2">
        <v>4</v>
      </c>
      <c r="C549" s="2" t="s">
        <v>157</v>
      </c>
      <c r="D549" s="3">
        <v>44658</v>
      </c>
      <c r="E549" s="7">
        <v>182</v>
      </c>
      <c r="F549" s="2" t="s">
        <v>10</v>
      </c>
      <c r="G549" s="1">
        <v>16</v>
      </c>
      <c r="H549" s="6">
        <v>166</v>
      </c>
      <c r="I549" s="1">
        <v>39</v>
      </c>
      <c r="J549" s="116" t="str">
        <f t="shared" si="8"/>
        <v>평일</v>
      </c>
    </row>
    <row r="550" spans="1:10" ht="21.75" hidden="1" customHeight="1" x14ac:dyDescent="0.25">
      <c r="A550" s="2">
        <v>2022</v>
      </c>
      <c r="B550" s="2">
        <v>4</v>
      </c>
      <c r="C550" s="2" t="s">
        <v>158</v>
      </c>
      <c r="D550" s="3">
        <v>44659</v>
      </c>
      <c r="E550" s="7">
        <v>274</v>
      </c>
      <c r="F550" s="2" t="s">
        <v>10</v>
      </c>
      <c r="G550" s="1">
        <v>48</v>
      </c>
      <c r="H550" s="6">
        <v>226</v>
      </c>
      <c r="I550" s="1">
        <v>40</v>
      </c>
      <c r="J550" s="116" t="str">
        <f t="shared" si="8"/>
        <v>평일</v>
      </c>
    </row>
    <row r="551" spans="1:10" ht="21.75" hidden="1" customHeight="1" x14ac:dyDescent="0.25">
      <c r="A551" s="2">
        <v>2022</v>
      </c>
      <c r="B551" s="2">
        <v>4</v>
      </c>
      <c r="C551" s="2" t="s">
        <v>159</v>
      </c>
      <c r="D551" s="3">
        <v>44660</v>
      </c>
      <c r="E551" s="7">
        <v>656</v>
      </c>
      <c r="F551" s="2" t="s">
        <v>10</v>
      </c>
      <c r="G551" s="1">
        <v>125</v>
      </c>
      <c r="H551" s="6">
        <v>531</v>
      </c>
      <c r="I551" s="1">
        <v>41</v>
      </c>
      <c r="J551" s="116" t="str">
        <f t="shared" si="8"/>
        <v>주말</v>
      </c>
    </row>
    <row r="552" spans="1:10" ht="21.75" hidden="1" customHeight="1" x14ac:dyDescent="0.25">
      <c r="A552" s="2">
        <v>2022</v>
      </c>
      <c r="B552" s="2">
        <v>4</v>
      </c>
      <c r="C552" s="2" t="s">
        <v>160</v>
      </c>
      <c r="D552" s="3">
        <v>44661</v>
      </c>
      <c r="E552" s="7">
        <v>406</v>
      </c>
      <c r="F552" s="2" t="s">
        <v>10</v>
      </c>
      <c r="G552" s="1">
        <v>61</v>
      </c>
      <c r="H552" s="6">
        <v>345</v>
      </c>
      <c r="I552" s="1">
        <v>42</v>
      </c>
      <c r="J552" s="116" t="str">
        <f t="shared" si="8"/>
        <v>주말</v>
      </c>
    </row>
    <row r="553" spans="1:10" ht="21.75" hidden="1" customHeight="1" x14ac:dyDescent="0.25">
      <c r="A553" s="2">
        <v>2022</v>
      </c>
      <c r="B553" s="2">
        <v>4</v>
      </c>
      <c r="C553" s="2" t="s">
        <v>161</v>
      </c>
      <c r="D553" s="3">
        <v>44662</v>
      </c>
      <c r="E553" s="7">
        <v>173</v>
      </c>
      <c r="F553" s="2" t="s">
        <v>10</v>
      </c>
      <c r="G553" s="1">
        <v>27</v>
      </c>
      <c r="H553" s="6">
        <v>146</v>
      </c>
      <c r="I553" s="1">
        <v>43</v>
      </c>
      <c r="J553" s="116" t="str">
        <f t="shared" si="8"/>
        <v>평일</v>
      </c>
    </row>
    <row r="554" spans="1:10" ht="21.75" hidden="1" customHeight="1" x14ac:dyDescent="0.25">
      <c r="A554" s="2">
        <v>2022</v>
      </c>
      <c r="B554" s="2">
        <v>4</v>
      </c>
      <c r="C554" s="2" t="s">
        <v>162</v>
      </c>
      <c r="D554" s="3">
        <v>44663</v>
      </c>
      <c r="E554" s="7">
        <v>170</v>
      </c>
      <c r="F554" s="2" t="s">
        <v>10</v>
      </c>
      <c r="G554" s="1">
        <v>34</v>
      </c>
      <c r="H554" s="6">
        <v>136</v>
      </c>
      <c r="I554" s="1">
        <v>44</v>
      </c>
      <c r="J554" s="116" t="str">
        <f t="shared" si="8"/>
        <v>평일</v>
      </c>
    </row>
    <row r="555" spans="1:10" ht="21.75" hidden="1" customHeight="1" x14ac:dyDescent="0.25">
      <c r="A555" s="2">
        <v>2022</v>
      </c>
      <c r="B555" s="2">
        <v>4</v>
      </c>
      <c r="C555" s="2" t="s">
        <v>163</v>
      </c>
      <c r="D555" s="3">
        <v>44664</v>
      </c>
      <c r="E555" s="7">
        <v>138</v>
      </c>
      <c r="F555" s="2" t="s">
        <v>10</v>
      </c>
      <c r="G555" s="1">
        <v>13</v>
      </c>
      <c r="H555" s="6">
        <v>125</v>
      </c>
      <c r="I555" s="1">
        <v>45</v>
      </c>
      <c r="J555" s="116" t="str">
        <f t="shared" si="8"/>
        <v>평일</v>
      </c>
    </row>
    <row r="556" spans="1:10" ht="21.75" hidden="1" customHeight="1" x14ac:dyDescent="0.25">
      <c r="A556" s="2">
        <v>2022</v>
      </c>
      <c r="B556" s="2">
        <v>4</v>
      </c>
      <c r="C556" s="2" t="s">
        <v>157</v>
      </c>
      <c r="D556" s="3">
        <v>44665</v>
      </c>
      <c r="E556" s="7">
        <v>157</v>
      </c>
      <c r="F556" s="2" t="s">
        <v>10</v>
      </c>
      <c r="G556" s="1">
        <v>26</v>
      </c>
      <c r="H556" s="6">
        <v>131</v>
      </c>
      <c r="I556" s="1">
        <v>46</v>
      </c>
      <c r="J556" s="116" t="str">
        <f t="shared" si="8"/>
        <v>평일</v>
      </c>
    </row>
    <row r="557" spans="1:10" ht="21.75" hidden="1" customHeight="1" x14ac:dyDescent="0.25">
      <c r="A557" s="2">
        <v>2022</v>
      </c>
      <c r="B557" s="2">
        <v>4</v>
      </c>
      <c r="C557" s="2" t="s">
        <v>158</v>
      </c>
      <c r="D557" s="3">
        <v>44666</v>
      </c>
      <c r="E557" s="7">
        <v>189</v>
      </c>
      <c r="F557" s="2" t="s">
        <v>10</v>
      </c>
      <c r="G557" s="1">
        <v>29</v>
      </c>
      <c r="H557" s="6">
        <v>160</v>
      </c>
      <c r="I557" s="1">
        <v>47</v>
      </c>
      <c r="J557" s="116" t="str">
        <f t="shared" si="8"/>
        <v>평일</v>
      </c>
    </row>
    <row r="558" spans="1:10" ht="21.75" hidden="1" customHeight="1" x14ac:dyDescent="0.25">
      <c r="A558" s="2">
        <v>2022</v>
      </c>
      <c r="B558" s="2">
        <v>4</v>
      </c>
      <c r="C558" s="2" t="s">
        <v>159</v>
      </c>
      <c r="D558" s="3">
        <v>44667</v>
      </c>
      <c r="E558" s="7">
        <v>466</v>
      </c>
      <c r="F558" s="2" t="s">
        <v>10</v>
      </c>
      <c r="G558" s="1">
        <v>95</v>
      </c>
      <c r="H558" s="6">
        <v>371</v>
      </c>
      <c r="I558" s="1">
        <v>48</v>
      </c>
      <c r="J558" s="116" t="str">
        <f t="shared" si="8"/>
        <v>주말</v>
      </c>
    </row>
    <row r="559" spans="1:10" ht="21.75" hidden="1" customHeight="1" x14ac:dyDescent="0.25">
      <c r="A559" s="2">
        <v>2022</v>
      </c>
      <c r="B559" s="2">
        <v>4</v>
      </c>
      <c r="C559" s="2" t="s">
        <v>160</v>
      </c>
      <c r="D559" s="3">
        <v>44668</v>
      </c>
      <c r="E559" s="7">
        <v>324</v>
      </c>
      <c r="F559" s="2" t="s">
        <v>10</v>
      </c>
      <c r="G559" s="1">
        <v>55</v>
      </c>
      <c r="H559" s="6">
        <v>269</v>
      </c>
      <c r="I559" s="1">
        <v>49</v>
      </c>
      <c r="J559" s="116" t="str">
        <f t="shared" si="8"/>
        <v>주말</v>
      </c>
    </row>
    <row r="560" spans="1:10" ht="21.75" hidden="1" customHeight="1" x14ac:dyDescent="0.25">
      <c r="A560" s="2">
        <v>2022</v>
      </c>
      <c r="B560" s="2">
        <v>4</v>
      </c>
      <c r="C560" s="2" t="s">
        <v>161</v>
      </c>
      <c r="D560" s="3">
        <v>44669</v>
      </c>
      <c r="E560" s="7">
        <v>0</v>
      </c>
      <c r="F560" s="2" t="s">
        <v>10</v>
      </c>
      <c r="G560" s="1">
        <v>0</v>
      </c>
      <c r="H560" s="6">
        <v>0</v>
      </c>
      <c r="I560" s="1">
        <v>50</v>
      </c>
      <c r="J560" s="116" t="str">
        <f t="shared" si="8"/>
        <v>평일</v>
      </c>
    </row>
    <row r="561" spans="1:10" ht="21.75" hidden="1" customHeight="1" x14ac:dyDescent="0.25">
      <c r="A561" s="2">
        <v>2022</v>
      </c>
      <c r="B561" s="2">
        <v>4</v>
      </c>
      <c r="C561" s="2" t="s">
        <v>162</v>
      </c>
      <c r="D561" s="3">
        <v>44670</v>
      </c>
      <c r="E561" s="7">
        <v>112</v>
      </c>
      <c r="F561" s="2" t="s">
        <v>10</v>
      </c>
      <c r="G561" s="1">
        <v>15</v>
      </c>
      <c r="H561" s="6">
        <v>97</v>
      </c>
      <c r="I561" s="1">
        <v>51</v>
      </c>
      <c r="J561" s="116" t="str">
        <f t="shared" si="8"/>
        <v>평일</v>
      </c>
    </row>
    <row r="562" spans="1:10" ht="21.75" hidden="1" customHeight="1" x14ac:dyDescent="0.25">
      <c r="A562" s="2">
        <v>2022</v>
      </c>
      <c r="B562" s="2">
        <v>4</v>
      </c>
      <c r="C562" s="2" t="s">
        <v>163</v>
      </c>
      <c r="D562" s="3">
        <v>44671</v>
      </c>
      <c r="E562" s="7">
        <v>126</v>
      </c>
      <c r="F562" s="2" t="s">
        <v>10</v>
      </c>
      <c r="G562" s="1">
        <v>28</v>
      </c>
      <c r="H562" s="6">
        <v>98</v>
      </c>
      <c r="I562" s="1">
        <v>52</v>
      </c>
      <c r="J562" s="116" t="str">
        <f t="shared" si="8"/>
        <v>평일</v>
      </c>
    </row>
    <row r="563" spans="1:10" ht="21.75" hidden="1" customHeight="1" x14ac:dyDescent="0.25">
      <c r="A563" s="2">
        <v>2022</v>
      </c>
      <c r="B563" s="2">
        <v>4</v>
      </c>
      <c r="C563" s="2" t="s">
        <v>157</v>
      </c>
      <c r="D563" s="3">
        <v>44672</v>
      </c>
      <c r="E563" s="7">
        <v>115</v>
      </c>
      <c r="F563" s="2" t="s">
        <v>10</v>
      </c>
      <c r="G563" s="1">
        <v>33</v>
      </c>
      <c r="H563" s="6">
        <v>82</v>
      </c>
      <c r="I563" s="1">
        <v>53</v>
      </c>
      <c r="J563" s="116" t="str">
        <f t="shared" si="8"/>
        <v>평일</v>
      </c>
    </row>
    <row r="564" spans="1:10" ht="21.75" hidden="1" customHeight="1" x14ac:dyDescent="0.25">
      <c r="A564" s="2">
        <v>2022</v>
      </c>
      <c r="B564" s="2">
        <v>4</v>
      </c>
      <c r="C564" s="2" t="s">
        <v>158</v>
      </c>
      <c r="D564" s="3">
        <v>44673</v>
      </c>
      <c r="E564" s="7">
        <v>154</v>
      </c>
      <c r="F564" s="2" t="s">
        <v>10</v>
      </c>
      <c r="G564" s="1">
        <v>39</v>
      </c>
      <c r="H564" s="6">
        <v>115</v>
      </c>
      <c r="I564" s="1">
        <v>54</v>
      </c>
      <c r="J564" s="116" t="str">
        <f t="shared" si="8"/>
        <v>평일</v>
      </c>
    </row>
    <row r="565" spans="1:10" ht="21.75" hidden="1" customHeight="1" x14ac:dyDescent="0.25">
      <c r="A565" s="2">
        <v>2022</v>
      </c>
      <c r="B565" s="2">
        <v>4</v>
      </c>
      <c r="C565" s="2" t="s">
        <v>159</v>
      </c>
      <c r="D565" s="3">
        <v>44674</v>
      </c>
      <c r="E565" s="7">
        <v>476</v>
      </c>
      <c r="F565" s="2" t="s">
        <v>10</v>
      </c>
      <c r="G565" s="1">
        <v>95</v>
      </c>
      <c r="H565" s="6">
        <v>381</v>
      </c>
      <c r="I565" s="1">
        <v>55</v>
      </c>
      <c r="J565" s="116" t="str">
        <f t="shared" si="8"/>
        <v>주말</v>
      </c>
    </row>
    <row r="566" spans="1:10" ht="21.75" hidden="1" customHeight="1" x14ac:dyDescent="0.25">
      <c r="A566" s="2">
        <v>2022</v>
      </c>
      <c r="B566" s="2">
        <v>4</v>
      </c>
      <c r="C566" s="2" t="s">
        <v>160</v>
      </c>
      <c r="D566" s="3">
        <v>44675</v>
      </c>
      <c r="E566" s="7">
        <v>264</v>
      </c>
      <c r="F566" s="2" t="s">
        <v>10</v>
      </c>
      <c r="G566" s="1">
        <v>81</v>
      </c>
      <c r="H566" s="6">
        <v>183</v>
      </c>
      <c r="I566" s="1">
        <v>56</v>
      </c>
      <c r="J566" s="116" t="str">
        <f t="shared" si="8"/>
        <v>주말</v>
      </c>
    </row>
    <row r="567" spans="1:10" ht="21.75" hidden="1" customHeight="1" x14ac:dyDescent="0.25">
      <c r="A567" s="2">
        <v>2022</v>
      </c>
      <c r="B567" s="2">
        <v>4</v>
      </c>
      <c r="C567" s="2" t="s">
        <v>161</v>
      </c>
      <c r="D567" s="3">
        <v>44676</v>
      </c>
      <c r="E567" s="7">
        <v>174</v>
      </c>
      <c r="F567" s="2" t="s">
        <v>10</v>
      </c>
      <c r="G567" s="1">
        <v>50</v>
      </c>
      <c r="H567" s="6">
        <v>124</v>
      </c>
      <c r="I567" s="1">
        <v>57</v>
      </c>
      <c r="J567" s="116" t="str">
        <f t="shared" si="8"/>
        <v>평일</v>
      </c>
    </row>
    <row r="568" spans="1:10" ht="21.75" hidden="1" customHeight="1" x14ac:dyDescent="0.25">
      <c r="A568" s="2">
        <v>2022</v>
      </c>
      <c r="B568" s="2">
        <v>4</v>
      </c>
      <c r="C568" s="2" t="s">
        <v>162</v>
      </c>
      <c r="D568" s="3">
        <v>44677</v>
      </c>
      <c r="E568" s="7">
        <v>124</v>
      </c>
      <c r="F568" s="2" t="s">
        <v>10</v>
      </c>
      <c r="G568" s="1">
        <v>41</v>
      </c>
      <c r="H568" s="6">
        <v>83</v>
      </c>
      <c r="I568" s="1">
        <v>58</v>
      </c>
      <c r="J568" s="116" t="str">
        <f t="shared" si="8"/>
        <v>평일</v>
      </c>
    </row>
    <row r="569" spans="1:10" ht="21.75" hidden="1" customHeight="1" x14ac:dyDescent="0.25">
      <c r="A569" s="2">
        <v>2022</v>
      </c>
      <c r="B569" s="2">
        <v>4</v>
      </c>
      <c r="C569" s="2" t="s">
        <v>163</v>
      </c>
      <c r="D569" s="3">
        <v>44678</v>
      </c>
      <c r="E569" s="7">
        <v>309</v>
      </c>
      <c r="F569" s="2" t="s">
        <v>10</v>
      </c>
      <c r="G569" s="1">
        <v>54</v>
      </c>
      <c r="H569" s="6">
        <v>255</v>
      </c>
      <c r="I569" s="1">
        <v>59</v>
      </c>
      <c r="J569" s="116" t="str">
        <f t="shared" si="8"/>
        <v>평일</v>
      </c>
    </row>
    <row r="570" spans="1:10" ht="21.75" hidden="1" customHeight="1" x14ac:dyDescent="0.25">
      <c r="A570" s="2">
        <v>2022</v>
      </c>
      <c r="B570" s="2">
        <v>4</v>
      </c>
      <c r="C570" s="2" t="s">
        <v>157</v>
      </c>
      <c r="D570" s="3">
        <v>44679</v>
      </c>
      <c r="E570" s="7">
        <v>228</v>
      </c>
      <c r="F570" s="2" t="s">
        <v>10</v>
      </c>
      <c r="G570" s="1">
        <v>67</v>
      </c>
      <c r="H570" s="6">
        <v>161</v>
      </c>
      <c r="I570" s="1">
        <v>60</v>
      </c>
      <c r="J570" s="116" t="str">
        <f t="shared" si="8"/>
        <v>평일</v>
      </c>
    </row>
    <row r="571" spans="1:10" ht="21.75" hidden="1" customHeight="1" x14ac:dyDescent="0.25">
      <c r="A571" s="2">
        <v>2022</v>
      </c>
      <c r="B571" s="2">
        <v>4</v>
      </c>
      <c r="C571" s="2" t="s">
        <v>158</v>
      </c>
      <c r="D571" s="3">
        <v>44680</v>
      </c>
      <c r="E571" s="7">
        <v>289</v>
      </c>
      <c r="F571" s="2" t="s">
        <v>10</v>
      </c>
      <c r="G571" s="1">
        <v>74</v>
      </c>
      <c r="H571" s="6">
        <v>215</v>
      </c>
      <c r="I571" s="1">
        <v>61</v>
      </c>
      <c r="J571" s="116" t="str">
        <f t="shared" si="8"/>
        <v>평일</v>
      </c>
    </row>
    <row r="572" spans="1:10" ht="21.75" hidden="1" customHeight="1" x14ac:dyDescent="0.25">
      <c r="A572" s="2">
        <v>2022</v>
      </c>
      <c r="B572" s="2">
        <v>4</v>
      </c>
      <c r="C572" s="2" t="s">
        <v>159</v>
      </c>
      <c r="D572" s="3">
        <v>44681</v>
      </c>
      <c r="E572" s="7">
        <v>564</v>
      </c>
      <c r="F572" s="2" t="s">
        <v>10</v>
      </c>
      <c r="G572" s="1">
        <v>175</v>
      </c>
      <c r="H572" s="6">
        <v>389</v>
      </c>
      <c r="I572" s="1">
        <v>62</v>
      </c>
      <c r="J572" s="116" t="str">
        <f t="shared" si="8"/>
        <v>주말</v>
      </c>
    </row>
    <row r="573" spans="1:10" ht="21.75" hidden="1" customHeight="1" x14ac:dyDescent="0.25">
      <c r="A573" s="2">
        <v>2022</v>
      </c>
      <c r="B573" s="2">
        <v>5</v>
      </c>
      <c r="C573" s="2" t="s">
        <v>160</v>
      </c>
      <c r="D573" s="3">
        <v>44682</v>
      </c>
      <c r="E573" s="7">
        <v>327</v>
      </c>
      <c r="F573" s="2" t="s">
        <v>10</v>
      </c>
      <c r="G573" s="1">
        <v>71</v>
      </c>
      <c r="H573" s="6">
        <v>256</v>
      </c>
      <c r="I573" s="1">
        <v>63</v>
      </c>
      <c r="J573" s="116" t="str">
        <f t="shared" si="8"/>
        <v>주말</v>
      </c>
    </row>
    <row r="574" spans="1:10" ht="21.75" hidden="1" customHeight="1" x14ac:dyDescent="0.25">
      <c r="A574" s="2">
        <v>2022</v>
      </c>
      <c r="B574" s="2">
        <v>5</v>
      </c>
      <c r="C574" s="2" t="s">
        <v>161</v>
      </c>
      <c r="D574" s="3">
        <v>44683</v>
      </c>
      <c r="E574" s="7">
        <v>131</v>
      </c>
      <c r="F574" s="2" t="s">
        <v>10</v>
      </c>
      <c r="G574" s="1">
        <v>26</v>
      </c>
      <c r="H574" s="6">
        <v>105</v>
      </c>
      <c r="I574" s="1">
        <v>64</v>
      </c>
      <c r="J574" s="116" t="str">
        <f t="shared" si="8"/>
        <v>평일</v>
      </c>
    </row>
    <row r="575" spans="1:10" ht="21.75" hidden="1" customHeight="1" x14ac:dyDescent="0.25">
      <c r="A575" s="2">
        <v>2022</v>
      </c>
      <c r="B575" s="2">
        <v>5</v>
      </c>
      <c r="C575" s="2" t="s">
        <v>162</v>
      </c>
      <c r="D575" s="3">
        <v>44684</v>
      </c>
      <c r="E575" s="7">
        <v>149</v>
      </c>
      <c r="F575" s="2" t="s">
        <v>10</v>
      </c>
      <c r="G575" s="1">
        <v>34</v>
      </c>
      <c r="H575" s="6">
        <v>115</v>
      </c>
      <c r="I575" s="1">
        <v>65</v>
      </c>
      <c r="J575" s="116" t="str">
        <f t="shared" si="8"/>
        <v>평일</v>
      </c>
    </row>
    <row r="576" spans="1:10" ht="21.75" hidden="1" customHeight="1" x14ac:dyDescent="0.25">
      <c r="A576" s="2">
        <v>2022</v>
      </c>
      <c r="B576" s="2">
        <v>5</v>
      </c>
      <c r="C576" s="2" t="s">
        <v>163</v>
      </c>
      <c r="D576" s="3">
        <v>44685</v>
      </c>
      <c r="E576" s="7">
        <v>80</v>
      </c>
      <c r="F576" s="2" t="s">
        <v>10</v>
      </c>
      <c r="G576" s="1">
        <v>13</v>
      </c>
      <c r="H576" s="6">
        <v>67</v>
      </c>
      <c r="I576" s="1">
        <v>66</v>
      </c>
      <c r="J576" s="116" t="str">
        <f t="shared" si="8"/>
        <v>평일</v>
      </c>
    </row>
    <row r="577" spans="1:10" ht="21.75" hidden="1" customHeight="1" x14ac:dyDescent="0.25">
      <c r="A577" s="2">
        <v>2022</v>
      </c>
      <c r="B577" s="2">
        <v>5</v>
      </c>
      <c r="C577" s="2" t="s">
        <v>157</v>
      </c>
      <c r="D577" s="3">
        <v>44686</v>
      </c>
      <c r="E577" s="7">
        <v>317</v>
      </c>
      <c r="F577" s="2" t="s">
        <v>10</v>
      </c>
      <c r="G577" s="1">
        <v>33</v>
      </c>
      <c r="H577" s="6">
        <v>284</v>
      </c>
      <c r="I577" s="1">
        <v>67</v>
      </c>
      <c r="J577" s="116" t="str">
        <f t="shared" si="8"/>
        <v>평일</v>
      </c>
    </row>
    <row r="578" spans="1:10" ht="21.75" hidden="1" customHeight="1" x14ac:dyDescent="0.25">
      <c r="A578" s="2">
        <v>2022</v>
      </c>
      <c r="B578" s="2">
        <v>5</v>
      </c>
      <c r="C578" s="2" t="s">
        <v>158</v>
      </c>
      <c r="D578" s="3">
        <v>44687</v>
      </c>
      <c r="E578" s="7">
        <v>258</v>
      </c>
      <c r="F578" s="2" t="s">
        <v>10</v>
      </c>
      <c r="G578" s="1">
        <v>34</v>
      </c>
      <c r="H578" s="6">
        <v>224</v>
      </c>
      <c r="I578" s="1">
        <v>68</v>
      </c>
      <c r="J578" s="116" t="str">
        <f t="shared" si="8"/>
        <v>평일</v>
      </c>
    </row>
    <row r="579" spans="1:10" ht="21.75" hidden="1" customHeight="1" x14ac:dyDescent="0.25">
      <c r="A579" s="2">
        <v>2022</v>
      </c>
      <c r="B579" s="2">
        <v>5</v>
      </c>
      <c r="C579" s="2" t="s">
        <v>159</v>
      </c>
      <c r="D579" s="3">
        <v>44688</v>
      </c>
      <c r="E579" s="7">
        <v>455</v>
      </c>
      <c r="F579" s="2" t="s">
        <v>10</v>
      </c>
      <c r="G579" s="1">
        <v>61</v>
      </c>
      <c r="H579" s="6">
        <v>394</v>
      </c>
      <c r="I579" s="1">
        <v>69</v>
      </c>
      <c r="J579" s="116" t="str">
        <f t="shared" ref="J579:J642" si="9">+IF(OR(C579="토",C579="일"),"주말","평일")</f>
        <v>주말</v>
      </c>
    </row>
    <row r="580" spans="1:10" ht="21.75" hidden="1" customHeight="1" x14ac:dyDescent="0.25">
      <c r="A580" s="2">
        <v>2022</v>
      </c>
      <c r="B580" s="2">
        <v>5</v>
      </c>
      <c r="C580" s="2" t="s">
        <v>160</v>
      </c>
      <c r="D580" s="3">
        <v>44689</v>
      </c>
      <c r="E580" s="7">
        <v>300</v>
      </c>
      <c r="F580" s="2" t="s">
        <v>10</v>
      </c>
      <c r="G580" s="1">
        <v>36</v>
      </c>
      <c r="H580" s="6">
        <v>264</v>
      </c>
      <c r="I580" s="1">
        <v>70</v>
      </c>
      <c r="J580" s="116" t="str">
        <f t="shared" si="9"/>
        <v>주말</v>
      </c>
    </row>
    <row r="581" spans="1:10" ht="21.75" hidden="1" customHeight="1" x14ac:dyDescent="0.25">
      <c r="A581" s="2">
        <v>2022</v>
      </c>
      <c r="B581" s="2">
        <v>5</v>
      </c>
      <c r="C581" s="2" t="s">
        <v>161</v>
      </c>
      <c r="D581" s="3">
        <v>44690</v>
      </c>
      <c r="E581" s="7">
        <v>114</v>
      </c>
      <c r="F581" s="2" t="s">
        <v>10</v>
      </c>
      <c r="G581" s="1">
        <v>17</v>
      </c>
      <c r="H581" s="6">
        <v>97</v>
      </c>
      <c r="I581" s="1">
        <v>71</v>
      </c>
      <c r="J581" s="116" t="str">
        <f t="shared" si="9"/>
        <v>평일</v>
      </c>
    </row>
    <row r="582" spans="1:10" ht="21.75" hidden="1" customHeight="1" x14ac:dyDescent="0.25">
      <c r="A582" s="2">
        <v>2022</v>
      </c>
      <c r="B582" s="2">
        <v>5</v>
      </c>
      <c r="C582" s="2" t="s">
        <v>162</v>
      </c>
      <c r="D582" s="3">
        <v>44691</v>
      </c>
      <c r="E582" s="7">
        <v>106</v>
      </c>
      <c r="F582" s="2" t="s">
        <v>10</v>
      </c>
      <c r="G582" s="1">
        <v>25</v>
      </c>
      <c r="H582" s="6">
        <v>81</v>
      </c>
      <c r="I582" s="1">
        <v>72</v>
      </c>
      <c r="J582" s="116" t="str">
        <f t="shared" si="9"/>
        <v>평일</v>
      </c>
    </row>
    <row r="583" spans="1:10" ht="21.75" hidden="1" customHeight="1" x14ac:dyDescent="0.25">
      <c r="A583" s="2">
        <v>2022</v>
      </c>
      <c r="B583" s="2">
        <v>5</v>
      </c>
      <c r="C583" s="2" t="s">
        <v>163</v>
      </c>
      <c r="D583" s="3">
        <v>44692</v>
      </c>
      <c r="E583" s="7">
        <v>94</v>
      </c>
      <c r="F583" s="2" t="s">
        <v>10</v>
      </c>
      <c r="G583" s="1">
        <v>11</v>
      </c>
      <c r="H583" s="6">
        <v>83</v>
      </c>
      <c r="I583" s="1">
        <v>73</v>
      </c>
      <c r="J583" s="116" t="str">
        <f t="shared" si="9"/>
        <v>평일</v>
      </c>
    </row>
    <row r="584" spans="1:10" ht="21.75" hidden="1" customHeight="1" x14ac:dyDescent="0.25">
      <c r="A584" s="2">
        <v>2022</v>
      </c>
      <c r="B584" s="2">
        <v>5</v>
      </c>
      <c r="C584" s="2" t="s">
        <v>157</v>
      </c>
      <c r="D584" s="3">
        <v>44693</v>
      </c>
      <c r="E584" s="7">
        <v>111</v>
      </c>
      <c r="F584" s="2" t="s">
        <v>10</v>
      </c>
      <c r="G584" s="1">
        <v>20</v>
      </c>
      <c r="H584" s="6">
        <v>91</v>
      </c>
      <c r="I584" s="1">
        <v>74</v>
      </c>
      <c r="J584" s="116" t="str">
        <f t="shared" si="9"/>
        <v>평일</v>
      </c>
    </row>
    <row r="585" spans="1:10" ht="21.75" hidden="1" customHeight="1" x14ac:dyDescent="0.25">
      <c r="A585" s="2">
        <v>2022</v>
      </c>
      <c r="B585" s="2">
        <v>5</v>
      </c>
      <c r="C585" s="2" t="s">
        <v>158</v>
      </c>
      <c r="D585" s="3">
        <v>44694</v>
      </c>
      <c r="E585" s="7">
        <v>108</v>
      </c>
      <c r="F585" s="2" t="s">
        <v>10</v>
      </c>
      <c r="G585" s="1">
        <v>8</v>
      </c>
      <c r="H585" s="6">
        <v>100</v>
      </c>
      <c r="I585" s="1">
        <v>75</v>
      </c>
      <c r="J585" s="116" t="str">
        <f t="shared" si="9"/>
        <v>평일</v>
      </c>
    </row>
    <row r="586" spans="1:10" ht="21.75" hidden="1" customHeight="1" x14ac:dyDescent="0.25">
      <c r="A586" s="2">
        <v>2022</v>
      </c>
      <c r="B586" s="2">
        <v>5</v>
      </c>
      <c r="C586" s="2" t="s">
        <v>159</v>
      </c>
      <c r="D586" s="3">
        <v>44695</v>
      </c>
      <c r="E586" s="7">
        <v>604</v>
      </c>
      <c r="F586" s="2" t="s">
        <v>10</v>
      </c>
      <c r="G586" s="1">
        <v>91</v>
      </c>
      <c r="H586" s="6">
        <v>513</v>
      </c>
      <c r="I586" s="1">
        <v>76</v>
      </c>
      <c r="J586" s="116" t="str">
        <f t="shared" si="9"/>
        <v>주말</v>
      </c>
    </row>
    <row r="587" spans="1:10" ht="21.75" hidden="1" customHeight="1" x14ac:dyDescent="0.25">
      <c r="A587" s="2">
        <v>2022</v>
      </c>
      <c r="B587" s="2">
        <v>5</v>
      </c>
      <c r="C587" s="2" t="s">
        <v>160</v>
      </c>
      <c r="D587" s="3">
        <v>44696</v>
      </c>
      <c r="E587" s="7">
        <v>456</v>
      </c>
      <c r="F587" s="2" t="s">
        <v>10</v>
      </c>
      <c r="G587" s="1">
        <v>45</v>
      </c>
      <c r="H587" s="6">
        <v>411</v>
      </c>
      <c r="I587" s="1">
        <v>77</v>
      </c>
      <c r="J587" s="116" t="str">
        <f t="shared" si="9"/>
        <v>주말</v>
      </c>
    </row>
    <row r="588" spans="1:10" ht="21.75" hidden="1" customHeight="1" x14ac:dyDescent="0.25">
      <c r="A588" s="2">
        <v>2022</v>
      </c>
      <c r="B588" s="2">
        <v>5</v>
      </c>
      <c r="C588" s="2" t="s">
        <v>161</v>
      </c>
      <c r="D588" s="3">
        <v>44697</v>
      </c>
      <c r="E588" s="7">
        <v>127</v>
      </c>
      <c r="F588" s="2" t="s">
        <v>10</v>
      </c>
      <c r="G588" s="1">
        <v>18</v>
      </c>
      <c r="H588" s="6">
        <v>109</v>
      </c>
      <c r="I588" s="1">
        <v>78</v>
      </c>
      <c r="J588" s="116" t="str">
        <f t="shared" si="9"/>
        <v>평일</v>
      </c>
    </row>
    <row r="589" spans="1:10" ht="21.75" hidden="1" customHeight="1" x14ac:dyDescent="0.25">
      <c r="A589" s="2">
        <v>2022</v>
      </c>
      <c r="B589" s="2">
        <v>5</v>
      </c>
      <c r="C589" s="2" t="s">
        <v>162</v>
      </c>
      <c r="D589" s="3">
        <v>44698</v>
      </c>
      <c r="E589" s="7">
        <v>130</v>
      </c>
      <c r="F589" s="2" t="s">
        <v>10</v>
      </c>
      <c r="G589" s="1">
        <v>27</v>
      </c>
      <c r="H589" s="6">
        <v>103</v>
      </c>
      <c r="I589" s="1">
        <v>79</v>
      </c>
      <c r="J589" s="116" t="str">
        <f t="shared" si="9"/>
        <v>평일</v>
      </c>
    </row>
    <row r="590" spans="1:10" ht="21.75" hidden="1" customHeight="1" x14ac:dyDescent="0.25">
      <c r="A590" s="2">
        <v>2022</v>
      </c>
      <c r="B590" s="2">
        <v>5</v>
      </c>
      <c r="C590" s="2" t="s">
        <v>163</v>
      </c>
      <c r="D590" s="3">
        <v>44699</v>
      </c>
      <c r="E590" s="7">
        <v>123</v>
      </c>
      <c r="F590" s="2" t="s">
        <v>10</v>
      </c>
      <c r="G590" s="1">
        <v>15</v>
      </c>
      <c r="H590" s="6">
        <v>108</v>
      </c>
      <c r="I590" s="1">
        <v>80</v>
      </c>
      <c r="J590" s="116" t="str">
        <f t="shared" si="9"/>
        <v>평일</v>
      </c>
    </row>
    <row r="591" spans="1:10" ht="21.75" hidden="1" customHeight="1" x14ac:dyDescent="0.25">
      <c r="A591" s="2">
        <v>2022</v>
      </c>
      <c r="B591" s="2">
        <v>5</v>
      </c>
      <c r="C591" s="2" t="s">
        <v>157</v>
      </c>
      <c r="D591" s="3">
        <v>44700</v>
      </c>
      <c r="E591" s="7">
        <v>128</v>
      </c>
      <c r="F591" s="2" t="s">
        <v>10</v>
      </c>
      <c r="G591" s="1">
        <v>14</v>
      </c>
      <c r="H591" s="6">
        <v>114</v>
      </c>
      <c r="I591" s="1">
        <v>81</v>
      </c>
      <c r="J591" s="116" t="str">
        <f t="shared" si="9"/>
        <v>평일</v>
      </c>
    </row>
    <row r="592" spans="1:10" ht="21.75" hidden="1" customHeight="1" x14ac:dyDescent="0.25">
      <c r="A592" s="2">
        <v>2022</v>
      </c>
      <c r="B592" s="2">
        <v>5</v>
      </c>
      <c r="C592" s="2" t="s">
        <v>158</v>
      </c>
      <c r="D592" s="3">
        <v>44701</v>
      </c>
      <c r="E592" s="7">
        <v>219</v>
      </c>
      <c r="F592" s="2" t="s">
        <v>10</v>
      </c>
      <c r="G592" s="1">
        <v>39</v>
      </c>
      <c r="H592" s="6">
        <v>180</v>
      </c>
      <c r="I592" s="1">
        <v>82</v>
      </c>
      <c r="J592" s="116" t="str">
        <f t="shared" si="9"/>
        <v>평일</v>
      </c>
    </row>
    <row r="593" spans="1:10" ht="21.75" hidden="1" customHeight="1" x14ac:dyDescent="0.25">
      <c r="A593" s="2">
        <v>2022</v>
      </c>
      <c r="B593" s="2">
        <v>5</v>
      </c>
      <c r="C593" s="2" t="s">
        <v>159</v>
      </c>
      <c r="D593" s="3">
        <v>44702</v>
      </c>
      <c r="E593" s="7">
        <v>665</v>
      </c>
      <c r="F593" s="2" t="s">
        <v>10</v>
      </c>
      <c r="G593" s="1">
        <v>107</v>
      </c>
      <c r="H593" s="6">
        <v>558</v>
      </c>
      <c r="I593" s="1">
        <v>83</v>
      </c>
      <c r="J593" s="116" t="str">
        <f t="shared" si="9"/>
        <v>주말</v>
      </c>
    </row>
    <row r="594" spans="1:10" ht="21.75" hidden="1" customHeight="1" x14ac:dyDescent="0.25">
      <c r="A594" s="2">
        <v>2022</v>
      </c>
      <c r="B594" s="2">
        <v>5</v>
      </c>
      <c r="C594" s="2" t="s">
        <v>160</v>
      </c>
      <c r="D594" s="3">
        <v>44703</v>
      </c>
      <c r="E594" s="7">
        <v>528</v>
      </c>
      <c r="F594" s="2" t="s">
        <v>10</v>
      </c>
      <c r="G594" s="1">
        <v>75</v>
      </c>
      <c r="H594" s="6">
        <v>453</v>
      </c>
      <c r="I594" s="1">
        <v>84</v>
      </c>
      <c r="J594" s="116" t="str">
        <f t="shared" si="9"/>
        <v>주말</v>
      </c>
    </row>
    <row r="595" spans="1:10" ht="21.75" hidden="1" customHeight="1" x14ac:dyDescent="0.25">
      <c r="A595" s="2">
        <v>2022</v>
      </c>
      <c r="B595" s="2">
        <v>5</v>
      </c>
      <c r="C595" s="2" t="s">
        <v>161</v>
      </c>
      <c r="D595" s="3">
        <v>44704</v>
      </c>
      <c r="E595" s="7">
        <v>0</v>
      </c>
      <c r="F595" s="2" t="s">
        <v>10</v>
      </c>
      <c r="G595" s="1">
        <v>0</v>
      </c>
      <c r="H595" s="6">
        <v>0</v>
      </c>
      <c r="I595" s="1">
        <v>85</v>
      </c>
      <c r="J595" s="116" t="str">
        <f t="shared" si="9"/>
        <v>평일</v>
      </c>
    </row>
    <row r="596" spans="1:10" ht="21.75" hidden="1" customHeight="1" x14ac:dyDescent="0.25">
      <c r="A596" s="2">
        <v>2022</v>
      </c>
      <c r="B596" s="2">
        <v>5</v>
      </c>
      <c r="C596" s="2" t="s">
        <v>162</v>
      </c>
      <c r="D596" s="3">
        <v>44705</v>
      </c>
      <c r="E596" s="7">
        <v>114</v>
      </c>
      <c r="F596" s="2" t="s">
        <v>10</v>
      </c>
      <c r="G596" s="1">
        <v>20</v>
      </c>
      <c r="H596" s="6">
        <v>94</v>
      </c>
      <c r="I596" s="1">
        <v>86</v>
      </c>
      <c r="J596" s="116" t="str">
        <f t="shared" si="9"/>
        <v>평일</v>
      </c>
    </row>
    <row r="597" spans="1:10" ht="21.75" hidden="1" customHeight="1" x14ac:dyDescent="0.25">
      <c r="A597" s="2">
        <v>2022</v>
      </c>
      <c r="B597" s="2">
        <v>5</v>
      </c>
      <c r="C597" s="2" t="s">
        <v>163</v>
      </c>
      <c r="D597" s="3">
        <v>44706</v>
      </c>
      <c r="E597" s="7">
        <v>275</v>
      </c>
      <c r="F597" s="2" t="s">
        <v>10</v>
      </c>
      <c r="G597" s="1">
        <v>42</v>
      </c>
      <c r="H597" s="6">
        <v>233</v>
      </c>
      <c r="I597" s="1">
        <v>87</v>
      </c>
      <c r="J597" s="116" t="str">
        <f t="shared" si="9"/>
        <v>평일</v>
      </c>
    </row>
    <row r="598" spans="1:10" ht="21.75" hidden="1" customHeight="1" x14ac:dyDescent="0.25">
      <c r="A598" s="2">
        <v>2022</v>
      </c>
      <c r="B598" s="2">
        <v>5</v>
      </c>
      <c r="C598" s="2" t="s">
        <v>157</v>
      </c>
      <c r="D598" s="3">
        <v>44707</v>
      </c>
      <c r="E598" s="7">
        <v>181</v>
      </c>
      <c r="F598" s="2" t="s">
        <v>10</v>
      </c>
      <c r="G598" s="1">
        <v>43</v>
      </c>
      <c r="H598" s="6">
        <v>138</v>
      </c>
      <c r="I598" s="1">
        <v>88</v>
      </c>
      <c r="J598" s="116" t="str">
        <f t="shared" si="9"/>
        <v>평일</v>
      </c>
    </row>
    <row r="599" spans="1:10" ht="21.75" hidden="1" customHeight="1" x14ac:dyDescent="0.25">
      <c r="A599" s="2">
        <v>2022</v>
      </c>
      <c r="B599" s="2">
        <v>5</v>
      </c>
      <c r="C599" s="2" t="s">
        <v>158</v>
      </c>
      <c r="D599" s="3">
        <v>44708</v>
      </c>
      <c r="E599" s="7">
        <v>298</v>
      </c>
      <c r="F599" s="2" t="s">
        <v>10</v>
      </c>
      <c r="G599" s="1">
        <v>48</v>
      </c>
      <c r="H599" s="6">
        <v>250</v>
      </c>
      <c r="I599" s="1">
        <v>89</v>
      </c>
      <c r="J599" s="116" t="str">
        <f t="shared" si="9"/>
        <v>평일</v>
      </c>
    </row>
    <row r="600" spans="1:10" ht="21.75" hidden="1" customHeight="1" x14ac:dyDescent="0.25">
      <c r="A600" s="2">
        <v>2022</v>
      </c>
      <c r="B600" s="2">
        <v>5</v>
      </c>
      <c r="C600" s="2" t="s">
        <v>159</v>
      </c>
      <c r="D600" s="3">
        <v>44709</v>
      </c>
      <c r="E600" s="7">
        <v>690</v>
      </c>
      <c r="F600" s="2" t="s">
        <v>10</v>
      </c>
      <c r="G600" s="1">
        <v>161</v>
      </c>
      <c r="H600" s="6">
        <v>529</v>
      </c>
      <c r="I600" s="1">
        <v>90</v>
      </c>
      <c r="J600" s="116" t="str">
        <f t="shared" si="9"/>
        <v>주말</v>
      </c>
    </row>
    <row r="601" spans="1:10" ht="21.75" hidden="1" customHeight="1" x14ac:dyDescent="0.25">
      <c r="A601" s="2">
        <v>2022</v>
      </c>
      <c r="B601" s="2">
        <v>5</v>
      </c>
      <c r="C601" s="2" t="s">
        <v>160</v>
      </c>
      <c r="D601" s="3">
        <v>44710</v>
      </c>
      <c r="E601" s="7">
        <v>660</v>
      </c>
      <c r="F601" s="2" t="s">
        <v>10</v>
      </c>
      <c r="G601" s="1">
        <v>114</v>
      </c>
      <c r="H601" s="6">
        <v>546</v>
      </c>
      <c r="I601" s="1">
        <v>91</v>
      </c>
      <c r="J601" s="116" t="str">
        <f t="shared" si="9"/>
        <v>주말</v>
      </c>
    </row>
    <row r="602" spans="1:10" ht="21.75" hidden="1" customHeight="1" x14ac:dyDescent="0.25">
      <c r="A602" s="2">
        <v>2022</v>
      </c>
      <c r="B602" s="2">
        <v>5</v>
      </c>
      <c r="C602" s="2" t="s">
        <v>161</v>
      </c>
      <c r="D602" s="3">
        <v>44711</v>
      </c>
      <c r="E602" s="7">
        <v>242</v>
      </c>
      <c r="F602" s="2" t="s">
        <v>10</v>
      </c>
      <c r="G602" s="1">
        <v>56</v>
      </c>
      <c r="H602" s="6">
        <v>186</v>
      </c>
      <c r="I602" s="1">
        <v>92</v>
      </c>
      <c r="J602" s="116" t="str">
        <f t="shared" si="9"/>
        <v>평일</v>
      </c>
    </row>
    <row r="603" spans="1:10" ht="21.75" hidden="1" customHeight="1" x14ac:dyDescent="0.25">
      <c r="A603" s="2">
        <v>2022</v>
      </c>
      <c r="B603" s="2">
        <v>5</v>
      </c>
      <c r="C603" s="2" t="s">
        <v>162</v>
      </c>
      <c r="D603" s="3">
        <v>44712</v>
      </c>
      <c r="E603" s="7">
        <v>285</v>
      </c>
      <c r="F603" s="2" t="s">
        <v>10</v>
      </c>
      <c r="G603" s="1">
        <v>68</v>
      </c>
      <c r="H603" s="6">
        <v>217</v>
      </c>
      <c r="I603" s="1">
        <v>93</v>
      </c>
      <c r="J603" s="116" t="str">
        <f t="shared" si="9"/>
        <v>평일</v>
      </c>
    </row>
    <row r="604" spans="1:10" ht="21.75" hidden="1" customHeight="1" x14ac:dyDescent="0.25">
      <c r="A604" s="2">
        <v>2022</v>
      </c>
      <c r="B604" s="2">
        <v>6</v>
      </c>
      <c r="C604" s="2" t="s">
        <v>163</v>
      </c>
      <c r="D604" s="3">
        <v>44713</v>
      </c>
      <c r="E604" s="7">
        <v>718</v>
      </c>
      <c r="F604" s="2" t="s">
        <v>10</v>
      </c>
      <c r="G604" s="1">
        <v>187</v>
      </c>
      <c r="H604" s="6">
        <v>531</v>
      </c>
      <c r="I604" s="1">
        <v>94</v>
      </c>
      <c r="J604" s="116" t="str">
        <f t="shared" si="9"/>
        <v>평일</v>
      </c>
    </row>
    <row r="605" spans="1:10" ht="21.75" hidden="1" customHeight="1" x14ac:dyDescent="0.25">
      <c r="A605" s="2">
        <v>2022</v>
      </c>
      <c r="B605" s="2">
        <v>6</v>
      </c>
      <c r="C605" s="2" t="s">
        <v>157</v>
      </c>
      <c r="D605" s="3">
        <v>44714</v>
      </c>
      <c r="E605" s="7">
        <v>240</v>
      </c>
      <c r="F605" s="2" t="s">
        <v>10</v>
      </c>
      <c r="G605" s="1">
        <v>45</v>
      </c>
      <c r="H605" s="6">
        <v>195</v>
      </c>
      <c r="I605" s="1">
        <v>95</v>
      </c>
      <c r="J605" s="116" t="str">
        <f t="shared" si="9"/>
        <v>평일</v>
      </c>
    </row>
    <row r="606" spans="1:10" ht="21.75" hidden="1" customHeight="1" x14ac:dyDescent="0.25">
      <c r="A606" s="2">
        <v>2022</v>
      </c>
      <c r="B606" s="2">
        <v>6</v>
      </c>
      <c r="C606" s="2" t="s">
        <v>158</v>
      </c>
      <c r="D606" s="3">
        <v>44715</v>
      </c>
      <c r="E606" s="7">
        <v>403</v>
      </c>
      <c r="F606" s="2" t="s">
        <v>10</v>
      </c>
      <c r="G606" s="1">
        <v>99</v>
      </c>
      <c r="H606" s="6">
        <v>304</v>
      </c>
      <c r="I606" s="1">
        <v>96</v>
      </c>
      <c r="J606" s="116" t="str">
        <f t="shared" si="9"/>
        <v>평일</v>
      </c>
    </row>
    <row r="607" spans="1:10" ht="21.75" hidden="1" customHeight="1" x14ac:dyDescent="0.25">
      <c r="A607" s="2">
        <v>2022</v>
      </c>
      <c r="B607" s="2">
        <v>6</v>
      </c>
      <c r="C607" s="2" t="s">
        <v>159</v>
      </c>
      <c r="D607" s="3">
        <v>44716</v>
      </c>
      <c r="E607" s="7">
        <v>858</v>
      </c>
      <c r="F607" s="2" t="s">
        <v>10</v>
      </c>
      <c r="G607" s="1">
        <v>225</v>
      </c>
      <c r="H607" s="6">
        <v>633</v>
      </c>
      <c r="I607" s="1">
        <v>97</v>
      </c>
      <c r="J607" s="116" t="str">
        <f t="shared" si="9"/>
        <v>주말</v>
      </c>
    </row>
    <row r="608" spans="1:10" ht="21.75" hidden="1" customHeight="1" x14ac:dyDescent="0.25">
      <c r="A608" s="2">
        <v>2022</v>
      </c>
      <c r="B608" s="2">
        <v>6</v>
      </c>
      <c r="C608" s="2" t="s">
        <v>160</v>
      </c>
      <c r="D608" s="3">
        <v>44717</v>
      </c>
      <c r="E608" s="7">
        <v>784</v>
      </c>
      <c r="F608" s="2" t="s">
        <v>10</v>
      </c>
      <c r="G608" s="1">
        <v>203</v>
      </c>
      <c r="H608" s="6">
        <v>581</v>
      </c>
      <c r="I608" s="1">
        <v>98</v>
      </c>
      <c r="J608" s="116" t="str">
        <f t="shared" si="9"/>
        <v>주말</v>
      </c>
    </row>
    <row r="609" spans="1:10" ht="21.75" hidden="1" customHeight="1" x14ac:dyDescent="0.25">
      <c r="A609" s="2">
        <v>2022</v>
      </c>
      <c r="B609" s="2">
        <v>6</v>
      </c>
      <c r="C609" s="2" t="s">
        <v>161</v>
      </c>
      <c r="D609" s="3">
        <v>44718</v>
      </c>
      <c r="E609" s="7">
        <v>1132</v>
      </c>
      <c r="F609" s="2" t="s">
        <v>10</v>
      </c>
      <c r="G609" s="1">
        <v>333</v>
      </c>
      <c r="H609" s="6">
        <v>799</v>
      </c>
      <c r="I609" s="1">
        <v>99</v>
      </c>
      <c r="J609" s="116" t="str">
        <f t="shared" si="9"/>
        <v>평일</v>
      </c>
    </row>
    <row r="610" spans="1:10" ht="21.75" hidden="1" customHeight="1" x14ac:dyDescent="0.25">
      <c r="A610" s="2">
        <v>2022</v>
      </c>
      <c r="B610" s="2">
        <v>6</v>
      </c>
      <c r="C610" s="2" t="s">
        <v>162</v>
      </c>
      <c r="D610" s="3">
        <v>44719</v>
      </c>
      <c r="E610" s="7">
        <v>0</v>
      </c>
      <c r="F610" s="2">
        <v>0</v>
      </c>
      <c r="G610" s="1"/>
      <c r="H610" s="1"/>
      <c r="I610" s="1">
        <v>130</v>
      </c>
      <c r="J610" s="116" t="str">
        <f t="shared" si="9"/>
        <v>평일</v>
      </c>
    </row>
    <row r="611" spans="1:10" ht="21.75" hidden="1" customHeight="1" x14ac:dyDescent="0.25">
      <c r="A611" s="2">
        <v>2022</v>
      </c>
      <c r="B611" s="2">
        <v>6</v>
      </c>
      <c r="C611" s="2" t="s">
        <v>163</v>
      </c>
      <c r="D611" s="3">
        <v>44720</v>
      </c>
      <c r="E611" s="7">
        <v>0</v>
      </c>
      <c r="F611" s="2">
        <v>0</v>
      </c>
      <c r="G611" s="1"/>
      <c r="H611" s="1"/>
      <c r="I611" s="1">
        <v>131</v>
      </c>
      <c r="J611" s="116" t="str">
        <f t="shared" si="9"/>
        <v>평일</v>
      </c>
    </row>
    <row r="612" spans="1:10" ht="21.75" hidden="1" customHeight="1" x14ac:dyDescent="0.25">
      <c r="A612" s="2">
        <v>2022</v>
      </c>
      <c r="B612" s="2">
        <v>6</v>
      </c>
      <c r="C612" s="2" t="s">
        <v>157</v>
      </c>
      <c r="D612" s="3">
        <v>44721</v>
      </c>
      <c r="E612" s="7">
        <v>0</v>
      </c>
      <c r="F612" s="2">
        <v>0</v>
      </c>
      <c r="G612" s="1"/>
      <c r="H612" s="1"/>
      <c r="I612" s="1">
        <v>132</v>
      </c>
      <c r="J612" s="116" t="str">
        <f t="shared" si="9"/>
        <v>평일</v>
      </c>
    </row>
    <row r="613" spans="1:10" ht="21.75" hidden="1" customHeight="1" x14ac:dyDescent="0.25">
      <c r="A613" s="2">
        <v>2022</v>
      </c>
      <c r="B613" s="2">
        <v>6</v>
      </c>
      <c r="C613" s="2" t="s">
        <v>158</v>
      </c>
      <c r="D613" s="3">
        <v>44722</v>
      </c>
      <c r="E613" s="7">
        <v>0</v>
      </c>
      <c r="F613" s="2">
        <v>0</v>
      </c>
      <c r="G613" s="1"/>
      <c r="H613" s="1"/>
      <c r="I613" s="1">
        <v>133</v>
      </c>
      <c r="J613" s="116" t="str">
        <f t="shared" si="9"/>
        <v>평일</v>
      </c>
    </row>
    <row r="614" spans="1:10" ht="21.75" hidden="1" customHeight="1" x14ac:dyDescent="0.25">
      <c r="A614" s="2">
        <v>2022</v>
      </c>
      <c r="B614" s="2">
        <v>6</v>
      </c>
      <c r="C614" s="2" t="s">
        <v>159</v>
      </c>
      <c r="D614" s="3">
        <v>44723</v>
      </c>
      <c r="E614" s="7">
        <v>0</v>
      </c>
      <c r="F614" s="2">
        <v>0</v>
      </c>
      <c r="G614" s="1"/>
      <c r="H614" s="1"/>
      <c r="I614" s="1">
        <v>134</v>
      </c>
      <c r="J614" s="116" t="str">
        <f t="shared" si="9"/>
        <v>주말</v>
      </c>
    </row>
    <row r="615" spans="1:10" ht="21.75" hidden="1" customHeight="1" x14ac:dyDescent="0.25">
      <c r="A615" s="2">
        <v>2022</v>
      </c>
      <c r="B615" s="2">
        <v>6</v>
      </c>
      <c r="C615" s="2" t="s">
        <v>160</v>
      </c>
      <c r="D615" s="3">
        <v>44724</v>
      </c>
      <c r="E615" s="7">
        <v>0</v>
      </c>
      <c r="F615" s="2">
        <v>0</v>
      </c>
      <c r="G615" s="1"/>
      <c r="H615" s="1"/>
      <c r="I615" s="1">
        <v>135</v>
      </c>
      <c r="J615" s="116" t="str">
        <f t="shared" si="9"/>
        <v>주말</v>
      </c>
    </row>
    <row r="616" spans="1:10" ht="21.75" hidden="1" customHeight="1" x14ac:dyDescent="0.25">
      <c r="A616" s="2">
        <v>2022</v>
      </c>
      <c r="B616" s="2">
        <v>6</v>
      </c>
      <c r="C616" s="2" t="s">
        <v>161</v>
      </c>
      <c r="D616" s="3">
        <v>44725</v>
      </c>
      <c r="E616" s="7">
        <v>0</v>
      </c>
      <c r="F616" s="2">
        <v>0</v>
      </c>
      <c r="G616" s="1"/>
      <c r="H616" s="1"/>
      <c r="I616" s="1">
        <v>136</v>
      </c>
      <c r="J616" s="116" t="str">
        <f t="shared" si="9"/>
        <v>평일</v>
      </c>
    </row>
    <row r="617" spans="1:10" ht="21.75" hidden="1" customHeight="1" x14ac:dyDescent="0.25">
      <c r="A617" s="2">
        <v>2022</v>
      </c>
      <c r="B617" s="2">
        <v>6</v>
      </c>
      <c r="C617" s="2" t="s">
        <v>162</v>
      </c>
      <c r="D617" s="3">
        <v>44726</v>
      </c>
      <c r="E617" s="7">
        <v>0</v>
      </c>
      <c r="F617" s="2">
        <v>0</v>
      </c>
      <c r="G617" s="1"/>
      <c r="H617" s="1"/>
      <c r="I617" s="1">
        <v>137</v>
      </c>
      <c r="J617" s="116" t="str">
        <f t="shared" si="9"/>
        <v>평일</v>
      </c>
    </row>
    <row r="618" spans="1:10" ht="21.75" hidden="1" customHeight="1" x14ac:dyDescent="0.25">
      <c r="A618" s="2">
        <v>2022</v>
      </c>
      <c r="B618" s="2">
        <v>6</v>
      </c>
      <c r="C618" s="2" t="s">
        <v>163</v>
      </c>
      <c r="D618" s="3">
        <v>44727</v>
      </c>
      <c r="E618" s="7">
        <v>0</v>
      </c>
      <c r="F618" s="2">
        <v>0</v>
      </c>
      <c r="G618" s="1"/>
      <c r="H618" s="1"/>
      <c r="I618" s="1">
        <v>138</v>
      </c>
      <c r="J618" s="116" t="str">
        <f t="shared" si="9"/>
        <v>평일</v>
      </c>
    </row>
    <row r="619" spans="1:10" ht="21.75" hidden="1" customHeight="1" x14ac:dyDescent="0.25">
      <c r="A619" s="2">
        <v>2022</v>
      </c>
      <c r="B619" s="2">
        <v>6</v>
      </c>
      <c r="C619" s="2" t="s">
        <v>157</v>
      </c>
      <c r="D619" s="3">
        <v>44728</v>
      </c>
      <c r="E619" s="7">
        <v>0</v>
      </c>
      <c r="F619" s="2">
        <v>0</v>
      </c>
      <c r="G619" s="1"/>
      <c r="H619" s="1"/>
      <c r="I619" s="1">
        <v>139</v>
      </c>
      <c r="J619" s="116" t="str">
        <f t="shared" si="9"/>
        <v>평일</v>
      </c>
    </row>
    <row r="620" spans="1:10" ht="21.75" hidden="1" customHeight="1" x14ac:dyDescent="0.25">
      <c r="A620" s="2">
        <v>2022</v>
      </c>
      <c r="B620" s="2">
        <v>6</v>
      </c>
      <c r="C620" s="2" t="s">
        <v>158</v>
      </c>
      <c r="D620" s="3">
        <v>44729</v>
      </c>
      <c r="E620" s="7">
        <v>0</v>
      </c>
      <c r="F620" s="2">
        <v>0</v>
      </c>
      <c r="G620" s="1"/>
      <c r="H620" s="1"/>
      <c r="I620" s="1">
        <v>140</v>
      </c>
      <c r="J620" s="116" t="str">
        <f t="shared" si="9"/>
        <v>평일</v>
      </c>
    </row>
    <row r="621" spans="1:10" ht="21.75" hidden="1" customHeight="1" x14ac:dyDescent="0.25">
      <c r="A621" s="2">
        <v>2022</v>
      </c>
      <c r="B621" s="2">
        <v>6</v>
      </c>
      <c r="C621" s="2" t="s">
        <v>159</v>
      </c>
      <c r="D621" s="3">
        <v>44730</v>
      </c>
      <c r="E621" s="7">
        <v>0</v>
      </c>
      <c r="F621" s="2">
        <v>0</v>
      </c>
      <c r="G621" s="1"/>
      <c r="H621" s="1"/>
      <c r="I621" s="1">
        <v>141</v>
      </c>
      <c r="J621" s="116" t="str">
        <f t="shared" si="9"/>
        <v>주말</v>
      </c>
    </row>
    <row r="622" spans="1:10" ht="21.75" hidden="1" customHeight="1" x14ac:dyDescent="0.25">
      <c r="A622" s="2">
        <v>2022</v>
      </c>
      <c r="B622" s="2">
        <v>6</v>
      </c>
      <c r="C622" s="2" t="s">
        <v>160</v>
      </c>
      <c r="D622" s="3">
        <v>44731</v>
      </c>
      <c r="E622" s="7">
        <v>0</v>
      </c>
      <c r="F622" s="2">
        <v>0</v>
      </c>
      <c r="G622" s="1"/>
      <c r="H622" s="1"/>
      <c r="I622" s="1">
        <v>142</v>
      </c>
      <c r="J622" s="116" t="str">
        <f t="shared" si="9"/>
        <v>주말</v>
      </c>
    </row>
    <row r="623" spans="1:10" ht="21.75" hidden="1" customHeight="1" x14ac:dyDescent="0.25">
      <c r="A623" s="2">
        <v>2022</v>
      </c>
      <c r="B623" s="2">
        <v>6</v>
      </c>
      <c r="C623" s="2" t="s">
        <v>161</v>
      </c>
      <c r="D623" s="3">
        <v>44732</v>
      </c>
      <c r="E623" s="7">
        <v>0</v>
      </c>
      <c r="F623" s="2">
        <v>0</v>
      </c>
      <c r="G623" s="1"/>
      <c r="H623" s="1"/>
      <c r="I623" s="1">
        <v>143</v>
      </c>
      <c r="J623" s="116" t="str">
        <f t="shared" si="9"/>
        <v>평일</v>
      </c>
    </row>
    <row r="624" spans="1:10" ht="21.75" hidden="1" customHeight="1" x14ac:dyDescent="0.25">
      <c r="A624" s="2">
        <v>2022</v>
      </c>
      <c r="B624" s="2">
        <v>6</v>
      </c>
      <c r="C624" s="2" t="s">
        <v>162</v>
      </c>
      <c r="D624" s="3">
        <v>44733</v>
      </c>
      <c r="E624" s="7">
        <v>0</v>
      </c>
      <c r="F624" s="2">
        <v>0</v>
      </c>
      <c r="G624" s="1"/>
      <c r="H624" s="1"/>
      <c r="I624" s="1">
        <v>144</v>
      </c>
      <c r="J624" s="116" t="str">
        <f t="shared" si="9"/>
        <v>평일</v>
      </c>
    </row>
    <row r="625" spans="1:10" ht="21.75" hidden="1" customHeight="1" x14ac:dyDescent="0.25">
      <c r="A625" s="2">
        <v>2022</v>
      </c>
      <c r="B625" s="2">
        <v>6</v>
      </c>
      <c r="C625" s="2" t="s">
        <v>163</v>
      </c>
      <c r="D625" s="3">
        <v>44734</v>
      </c>
      <c r="E625" s="7">
        <v>0</v>
      </c>
      <c r="F625" s="2">
        <v>0</v>
      </c>
      <c r="G625" s="1"/>
      <c r="H625" s="1"/>
      <c r="I625" s="1">
        <v>145</v>
      </c>
      <c r="J625" s="116" t="str">
        <f t="shared" si="9"/>
        <v>평일</v>
      </c>
    </row>
    <row r="626" spans="1:10" ht="21.75" hidden="1" customHeight="1" x14ac:dyDescent="0.25">
      <c r="A626" s="2">
        <v>2022</v>
      </c>
      <c r="B626" s="2">
        <v>6</v>
      </c>
      <c r="C626" s="2" t="s">
        <v>157</v>
      </c>
      <c r="D626" s="3">
        <v>44735</v>
      </c>
      <c r="E626" s="7">
        <v>0</v>
      </c>
      <c r="F626" s="2">
        <v>0</v>
      </c>
      <c r="G626" s="1"/>
      <c r="H626" s="1"/>
      <c r="I626" s="1">
        <v>146</v>
      </c>
      <c r="J626" s="116" t="str">
        <f t="shared" si="9"/>
        <v>평일</v>
      </c>
    </row>
    <row r="627" spans="1:10" ht="21.75" hidden="1" customHeight="1" x14ac:dyDescent="0.25">
      <c r="A627" s="2">
        <v>2022</v>
      </c>
      <c r="B627" s="2">
        <v>6</v>
      </c>
      <c r="C627" s="2" t="s">
        <v>158</v>
      </c>
      <c r="D627" s="3">
        <v>44736</v>
      </c>
      <c r="E627" s="7">
        <v>0</v>
      </c>
      <c r="F627" s="2">
        <v>0</v>
      </c>
      <c r="G627" s="1"/>
      <c r="H627" s="1"/>
      <c r="I627" s="1">
        <v>147</v>
      </c>
      <c r="J627" s="116" t="str">
        <f t="shared" si="9"/>
        <v>평일</v>
      </c>
    </row>
    <row r="628" spans="1:10" ht="21.75" hidden="1" customHeight="1" x14ac:dyDescent="0.25">
      <c r="A628" s="2">
        <v>2022</v>
      </c>
      <c r="B628" s="2">
        <v>6</v>
      </c>
      <c r="C628" s="2" t="s">
        <v>159</v>
      </c>
      <c r="D628" s="3">
        <v>44737</v>
      </c>
      <c r="E628" s="7">
        <v>0</v>
      </c>
      <c r="F628" s="2">
        <v>0</v>
      </c>
      <c r="G628" s="1"/>
      <c r="H628" s="1"/>
      <c r="I628" s="1">
        <v>148</v>
      </c>
      <c r="J628" s="116" t="str">
        <f t="shared" si="9"/>
        <v>주말</v>
      </c>
    </row>
    <row r="629" spans="1:10" ht="21.75" hidden="1" customHeight="1" x14ac:dyDescent="0.25">
      <c r="A629" s="2">
        <v>2022</v>
      </c>
      <c r="B629" s="2">
        <v>6</v>
      </c>
      <c r="C629" s="2" t="s">
        <v>160</v>
      </c>
      <c r="D629" s="3">
        <v>44738</v>
      </c>
      <c r="E629" s="7">
        <v>0</v>
      </c>
      <c r="F629" s="2">
        <v>0</v>
      </c>
      <c r="G629" s="1"/>
      <c r="H629" s="1"/>
      <c r="I629" s="1">
        <v>149</v>
      </c>
      <c r="J629" s="116" t="str">
        <f t="shared" si="9"/>
        <v>주말</v>
      </c>
    </row>
    <row r="630" spans="1:10" ht="21.75" hidden="1" customHeight="1" x14ac:dyDescent="0.25">
      <c r="A630" s="2">
        <v>2022</v>
      </c>
      <c r="B630" s="2">
        <v>6</v>
      </c>
      <c r="C630" s="2" t="s">
        <v>161</v>
      </c>
      <c r="D630" s="3">
        <v>44739</v>
      </c>
      <c r="E630" s="7">
        <v>0</v>
      </c>
      <c r="F630" s="2">
        <v>0</v>
      </c>
      <c r="G630" s="1"/>
      <c r="H630" s="1"/>
      <c r="I630" s="1">
        <v>150</v>
      </c>
      <c r="J630" s="116" t="str">
        <f t="shared" si="9"/>
        <v>평일</v>
      </c>
    </row>
    <row r="631" spans="1:10" ht="21.75" hidden="1" customHeight="1" x14ac:dyDescent="0.25">
      <c r="A631" s="2">
        <v>2022</v>
      </c>
      <c r="B631" s="2">
        <v>6</v>
      </c>
      <c r="C631" s="2" t="s">
        <v>162</v>
      </c>
      <c r="D631" s="3">
        <v>44740</v>
      </c>
      <c r="E631" s="7">
        <v>0</v>
      </c>
      <c r="F631" s="2">
        <v>0</v>
      </c>
      <c r="G631" s="1"/>
      <c r="H631" s="1"/>
      <c r="I631" s="1">
        <v>151</v>
      </c>
      <c r="J631" s="116" t="str">
        <f t="shared" si="9"/>
        <v>평일</v>
      </c>
    </row>
    <row r="632" spans="1:10" ht="21.75" hidden="1" customHeight="1" x14ac:dyDescent="0.25">
      <c r="A632" s="2">
        <v>2022</v>
      </c>
      <c r="B632" s="2">
        <v>6</v>
      </c>
      <c r="C632" s="2" t="s">
        <v>163</v>
      </c>
      <c r="D632" s="3">
        <v>44741</v>
      </c>
      <c r="E632" s="7">
        <v>0</v>
      </c>
      <c r="F632" s="2">
        <v>0</v>
      </c>
      <c r="G632" s="1"/>
      <c r="H632" s="1"/>
      <c r="I632" s="1">
        <v>152</v>
      </c>
      <c r="J632" s="116" t="str">
        <f t="shared" si="9"/>
        <v>평일</v>
      </c>
    </row>
    <row r="633" spans="1:10" ht="21.75" hidden="1" customHeight="1" x14ac:dyDescent="0.25">
      <c r="A633" s="2">
        <v>2022</v>
      </c>
      <c r="B633" s="2">
        <v>6</v>
      </c>
      <c r="C633" s="2" t="s">
        <v>157</v>
      </c>
      <c r="D633" s="3">
        <v>44742</v>
      </c>
      <c r="E633" s="7">
        <v>0</v>
      </c>
      <c r="F633" s="2">
        <v>0</v>
      </c>
      <c r="G633" s="1"/>
      <c r="H633" s="1"/>
      <c r="I633" s="1">
        <v>153</v>
      </c>
      <c r="J633" s="116" t="str">
        <f t="shared" si="9"/>
        <v>평일</v>
      </c>
    </row>
    <row r="634" spans="1:10" ht="21.75" hidden="1" customHeight="1" x14ac:dyDescent="0.25">
      <c r="A634" s="2">
        <v>2022</v>
      </c>
      <c r="B634" s="2">
        <v>7</v>
      </c>
      <c r="C634" s="2" t="s">
        <v>158</v>
      </c>
      <c r="D634" s="3">
        <v>44743</v>
      </c>
      <c r="E634" s="7">
        <v>0</v>
      </c>
      <c r="F634" s="2">
        <v>0</v>
      </c>
      <c r="G634" s="1"/>
      <c r="H634" s="1"/>
      <c r="I634" s="1">
        <v>154</v>
      </c>
      <c r="J634" s="116" t="str">
        <f t="shared" si="9"/>
        <v>평일</v>
      </c>
    </row>
    <row r="635" spans="1:10" ht="21.75" hidden="1" customHeight="1" x14ac:dyDescent="0.25">
      <c r="A635" s="2">
        <v>2022</v>
      </c>
      <c r="B635" s="2">
        <v>7</v>
      </c>
      <c r="C635" s="2" t="s">
        <v>159</v>
      </c>
      <c r="D635" s="3">
        <v>44744</v>
      </c>
      <c r="E635" s="7">
        <v>0</v>
      </c>
      <c r="F635" s="2">
        <v>0</v>
      </c>
      <c r="G635" s="1"/>
      <c r="H635" s="1"/>
      <c r="I635" s="1">
        <v>155</v>
      </c>
      <c r="J635" s="116" t="str">
        <f t="shared" si="9"/>
        <v>주말</v>
      </c>
    </row>
    <row r="636" spans="1:10" ht="21.75" hidden="1" customHeight="1" x14ac:dyDescent="0.25">
      <c r="A636" s="2">
        <v>2022</v>
      </c>
      <c r="B636" s="2">
        <v>7</v>
      </c>
      <c r="C636" s="2" t="s">
        <v>160</v>
      </c>
      <c r="D636" s="3">
        <v>44745</v>
      </c>
      <c r="E636" s="7">
        <v>0</v>
      </c>
      <c r="F636" s="2">
        <v>0</v>
      </c>
      <c r="G636" s="1"/>
      <c r="H636" s="1"/>
      <c r="I636" s="1">
        <v>156</v>
      </c>
      <c r="J636" s="116" t="str">
        <f t="shared" si="9"/>
        <v>주말</v>
      </c>
    </row>
    <row r="637" spans="1:10" ht="21.75" hidden="1" customHeight="1" x14ac:dyDescent="0.25">
      <c r="A637" s="2">
        <v>2022</v>
      </c>
      <c r="B637" s="2">
        <v>7</v>
      </c>
      <c r="C637" s="2" t="s">
        <v>161</v>
      </c>
      <c r="D637" s="3">
        <v>44746</v>
      </c>
      <c r="E637" s="7">
        <v>0</v>
      </c>
      <c r="F637" s="2">
        <v>0</v>
      </c>
      <c r="G637" s="1"/>
      <c r="H637" s="1"/>
      <c r="I637" s="1">
        <v>157</v>
      </c>
      <c r="J637" s="116" t="str">
        <f t="shared" si="9"/>
        <v>평일</v>
      </c>
    </row>
    <row r="638" spans="1:10" ht="21.75" hidden="1" customHeight="1" x14ac:dyDescent="0.25">
      <c r="A638" s="2">
        <v>2022</v>
      </c>
      <c r="B638" s="2">
        <v>7</v>
      </c>
      <c r="C638" s="2" t="s">
        <v>162</v>
      </c>
      <c r="D638" s="3">
        <v>44747</v>
      </c>
      <c r="E638" s="7">
        <v>0</v>
      </c>
      <c r="F638" s="2">
        <v>0</v>
      </c>
      <c r="G638" s="1"/>
      <c r="H638" s="1"/>
      <c r="I638" s="1">
        <v>158</v>
      </c>
      <c r="J638" s="116" t="str">
        <f t="shared" si="9"/>
        <v>평일</v>
      </c>
    </row>
    <row r="639" spans="1:10" ht="21.75" hidden="1" customHeight="1" x14ac:dyDescent="0.25">
      <c r="A639" s="2">
        <v>2022</v>
      </c>
      <c r="B639" s="2">
        <v>7</v>
      </c>
      <c r="C639" s="2" t="s">
        <v>163</v>
      </c>
      <c r="D639" s="3">
        <v>44748</v>
      </c>
      <c r="E639" s="7">
        <v>0</v>
      </c>
      <c r="F639" s="2">
        <v>0</v>
      </c>
      <c r="G639" s="1"/>
      <c r="H639" s="1"/>
      <c r="I639" s="1">
        <v>159</v>
      </c>
      <c r="J639" s="116" t="str">
        <f t="shared" si="9"/>
        <v>평일</v>
      </c>
    </row>
    <row r="640" spans="1:10" ht="21.75" hidden="1" customHeight="1" x14ac:dyDescent="0.25">
      <c r="A640" s="2">
        <v>2022</v>
      </c>
      <c r="B640" s="2">
        <v>7</v>
      </c>
      <c r="C640" s="2" t="s">
        <v>157</v>
      </c>
      <c r="D640" s="3">
        <v>44749</v>
      </c>
      <c r="E640" s="7">
        <v>0</v>
      </c>
      <c r="F640" s="2">
        <v>0</v>
      </c>
      <c r="G640" s="1"/>
      <c r="H640" s="1"/>
      <c r="I640" s="1">
        <v>160</v>
      </c>
      <c r="J640" s="116" t="str">
        <f t="shared" si="9"/>
        <v>평일</v>
      </c>
    </row>
    <row r="641" spans="1:10" ht="21.75" hidden="1" customHeight="1" x14ac:dyDescent="0.25">
      <c r="A641" s="2">
        <v>2022</v>
      </c>
      <c r="B641" s="2">
        <v>7</v>
      </c>
      <c r="C641" s="2" t="s">
        <v>158</v>
      </c>
      <c r="D641" s="3">
        <v>44750</v>
      </c>
      <c r="E641" s="7">
        <v>0</v>
      </c>
      <c r="F641" s="2">
        <v>0</v>
      </c>
      <c r="G641" s="1"/>
      <c r="H641" s="1"/>
      <c r="I641" s="1">
        <v>161</v>
      </c>
      <c r="J641" s="116" t="str">
        <f t="shared" si="9"/>
        <v>평일</v>
      </c>
    </row>
    <row r="642" spans="1:10" ht="21.75" hidden="1" customHeight="1" x14ac:dyDescent="0.25">
      <c r="A642" s="2">
        <v>2022</v>
      </c>
      <c r="B642" s="2">
        <v>7</v>
      </c>
      <c r="C642" s="2" t="s">
        <v>159</v>
      </c>
      <c r="D642" s="3">
        <v>44751</v>
      </c>
      <c r="E642" s="7">
        <v>0</v>
      </c>
      <c r="F642" s="2">
        <v>0</v>
      </c>
      <c r="G642" s="1"/>
      <c r="H642" s="1"/>
      <c r="I642" s="1">
        <v>162</v>
      </c>
      <c r="J642" s="116" t="str">
        <f t="shared" si="9"/>
        <v>주말</v>
      </c>
    </row>
    <row r="643" spans="1:10" ht="21.75" hidden="1" customHeight="1" x14ac:dyDescent="0.25">
      <c r="A643" s="2">
        <v>2022</v>
      </c>
      <c r="B643" s="2">
        <v>7</v>
      </c>
      <c r="C643" s="2" t="s">
        <v>160</v>
      </c>
      <c r="D643" s="3">
        <v>44752</v>
      </c>
      <c r="E643" s="7">
        <v>0</v>
      </c>
      <c r="F643" s="2">
        <v>0</v>
      </c>
      <c r="G643" s="1"/>
      <c r="H643" s="1"/>
      <c r="I643" s="1">
        <v>163</v>
      </c>
      <c r="J643" s="116" t="str">
        <f t="shared" ref="J643:J706" si="10">+IF(OR(C643="토",C643="일"),"주말","평일")</f>
        <v>주말</v>
      </c>
    </row>
    <row r="644" spans="1:10" ht="21.75" hidden="1" customHeight="1" x14ac:dyDescent="0.25">
      <c r="A644" s="2">
        <v>2022</v>
      </c>
      <c r="B644" s="2">
        <v>7</v>
      </c>
      <c r="C644" s="2" t="s">
        <v>161</v>
      </c>
      <c r="D644" s="3">
        <v>44753</v>
      </c>
      <c r="E644" s="7">
        <v>0</v>
      </c>
      <c r="F644" s="2">
        <v>0</v>
      </c>
      <c r="G644" s="1"/>
      <c r="H644" s="1"/>
      <c r="I644" s="1">
        <v>164</v>
      </c>
      <c r="J644" s="116" t="str">
        <f t="shared" si="10"/>
        <v>평일</v>
      </c>
    </row>
    <row r="645" spans="1:10" ht="21.75" hidden="1" customHeight="1" x14ac:dyDescent="0.25">
      <c r="A645" s="2">
        <v>2022</v>
      </c>
      <c r="B645" s="2">
        <v>7</v>
      </c>
      <c r="C645" s="2" t="s">
        <v>162</v>
      </c>
      <c r="D645" s="3">
        <v>44754</v>
      </c>
      <c r="E645" s="7">
        <v>0</v>
      </c>
      <c r="F645" s="2">
        <v>0</v>
      </c>
      <c r="G645" s="1"/>
      <c r="H645" s="1"/>
      <c r="I645" s="1">
        <v>165</v>
      </c>
      <c r="J645" s="116" t="str">
        <f t="shared" si="10"/>
        <v>평일</v>
      </c>
    </row>
    <row r="646" spans="1:10" ht="21.75" hidden="1" customHeight="1" x14ac:dyDescent="0.25">
      <c r="A646" s="2">
        <v>2022</v>
      </c>
      <c r="B646" s="2">
        <v>7</v>
      </c>
      <c r="C646" s="2" t="s">
        <v>163</v>
      </c>
      <c r="D646" s="3">
        <v>44755</v>
      </c>
      <c r="E646" s="7">
        <v>0</v>
      </c>
      <c r="F646" s="2">
        <v>0</v>
      </c>
      <c r="G646" s="1"/>
      <c r="H646" s="1"/>
      <c r="I646" s="1">
        <v>166</v>
      </c>
      <c r="J646" s="116" t="str">
        <f t="shared" si="10"/>
        <v>평일</v>
      </c>
    </row>
    <row r="647" spans="1:10" ht="21.75" hidden="1" customHeight="1" x14ac:dyDescent="0.25">
      <c r="A647" s="2">
        <v>2022</v>
      </c>
      <c r="B647" s="2">
        <v>7</v>
      </c>
      <c r="C647" s="2" t="s">
        <v>157</v>
      </c>
      <c r="D647" s="3">
        <v>44756</v>
      </c>
      <c r="E647" s="7">
        <v>0</v>
      </c>
      <c r="F647" s="2">
        <v>0</v>
      </c>
      <c r="G647" s="1"/>
      <c r="H647" s="1"/>
      <c r="I647" s="1">
        <v>167</v>
      </c>
      <c r="J647" s="116" t="str">
        <f t="shared" si="10"/>
        <v>평일</v>
      </c>
    </row>
    <row r="648" spans="1:10" ht="21.75" hidden="1" customHeight="1" x14ac:dyDescent="0.25">
      <c r="A648" s="2">
        <v>2022</v>
      </c>
      <c r="B648" s="2">
        <v>7</v>
      </c>
      <c r="C648" s="2" t="s">
        <v>158</v>
      </c>
      <c r="D648" s="3">
        <v>44757</v>
      </c>
      <c r="E648" s="7">
        <v>0</v>
      </c>
      <c r="F648" s="2">
        <v>0</v>
      </c>
      <c r="G648" s="1"/>
      <c r="H648" s="1"/>
      <c r="I648" s="1">
        <v>168</v>
      </c>
      <c r="J648" s="116" t="str">
        <f t="shared" si="10"/>
        <v>평일</v>
      </c>
    </row>
    <row r="649" spans="1:10" ht="21.75" hidden="1" customHeight="1" x14ac:dyDescent="0.25">
      <c r="A649" s="2">
        <v>2022</v>
      </c>
      <c r="B649" s="2">
        <v>7</v>
      </c>
      <c r="C649" s="2" t="s">
        <v>159</v>
      </c>
      <c r="D649" s="3">
        <v>44758</v>
      </c>
      <c r="E649" s="7">
        <v>0</v>
      </c>
      <c r="F649" s="2">
        <v>0</v>
      </c>
      <c r="G649" s="1"/>
      <c r="H649" s="1"/>
      <c r="I649" s="1">
        <v>169</v>
      </c>
      <c r="J649" s="116" t="str">
        <f t="shared" si="10"/>
        <v>주말</v>
      </c>
    </row>
    <row r="650" spans="1:10" ht="21.75" hidden="1" customHeight="1" x14ac:dyDescent="0.25">
      <c r="A650" s="2">
        <v>2022</v>
      </c>
      <c r="B650" s="2">
        <v>7</v>
      </c>
      <c r="C650" s="2" t="s">
        <v>160</v>
      </c>
      <c r="D650" s="3">
        <v>44759</v>
      </c>
      <c r="E650" s="7">
        <v>0</v>
      </c>
      <c r="F650" s="2">
        <v>0</v>
      </c>
      <c r="G650" s="1"/>
      <c r="H650" s="1"/>
      <c r="I650" s="1">
        <v>170</v>
      </c>
      <c r="J650" s="116" t="str">
        <f t="shared" si="10"/>
        <v>주말</v>
      </c>
    </row>
    <row r="651" spans="1:10" ht="21.75" hidden="1" customHeight="1" x14ac:dyDescent="0.25">
      <c r="A651" s="2">
        <v>2022</v>
      </c>
      <c r="B651" s="2">
        <v>7</v>
      </c>
      <c r="C651" s="2" t="s">
        <v>161</v>
      </c>
      <c r="D651" s="3">
        <v>44760</v>
      </c>
      <c r="E651" s="7">
        <v>0</v>
      </c>
      <c r="F651" s="2">
        <v>0</v>
      </c>
      <c r="G651" s="1"/>
      <c r="H651" s="1"/>
      <c r="I651" s="1">
        <v>171</v>
      </c>
      <c r="J651" s="116" t="str">
        <f t="shared" si="10"/>
        <v>평일</v>
      </c>
    </row>
    <row r="652" spans="1:10" ht="21.75" hidden="1" customHeight="1" x14ac:dyDescent="0.25">
      <c r="A652" s="2">
        <v>2022</v>
      </c>
      <c r="B652" s="2">
        <v>7</v>
      </c>
      <c r="C652" s="2" t="s">
        <v>162</v>
      </c>
      <c r="D652" s="3">
        <v>44761</v>
      </c>
      <c r="E652" s="7">
        <v>0</v>
      </c>
      <c r="F652" s="2">
        <v>0</v>
      </c>
      <c r="G652" s="1"/>
      <c r="H652" s="1"/>
      <c r="I652" s="1">
        <v>172</v>
      </c>
      <c r="J652" s="116" t="str">
        <f t="shared" si="10"/>
        <v>평일</v>
      </c>
    </row>
    <row r="653" spans="1:10" ht="21.75" hidden="1" customHeight="1" x14ac:dyDescent="0.25">
      <c r="A653" s="2">
        <v>2022</v>
      </c>
      <c r="B653" s="2">
        <v>7</v>
      </c>
      <c r="C653" s="2" t="s">
        <v>163</v>
      </c>
      <c r="D653" s="3">
        <v>44762</v>
      </c>
      <c r="E653" s="7">
        <v>0</v>
      </c>
      <c r="F653" s="2">
        <v>0</v>
      </c>
      <c r="G653" s="1"/>
      <c r="H653" s="1"/>
      <c r="I653" s="1">
        <v>173</v>
      </c>
      <c r="J653" s="116" t="str">
        <f t="shared" si="10"/>
        <v>평일</v>
      </c>
    </row>
    <row r="654" spans="1:10" ht="21.75" hidden="1" customHeight="1" x14ac:dyDescent="0.25">
      <c r="A654" s="2">
        <v>2022</v>
      </c>
      <c r="B654" s="2">
        <v>7</v>
      </c>
      <c r="C654" s="2" t="s">
        <v>157</v>
      </c>
      <c r="D654" s="3">
        <v>44763</v>
      </c>
      <c r="E654" s="7">
        <v>0</v>
      </c>
      <c r="F654" s="2">
        <v>0</v>
      </c>
      <c r="G654" s="1"/>
      <c r="H654" s="1"/>
      <c r="I654" s="1">
        <v>174</v>
      </c>
      <c r="J654" s="116" t="str">
        <f t="shared" si="10"/>
        <v>평일</v>
      </c>
    </row>
    <row r="655" spans="1:10" ht="21.75" hidden="1" customHeight="1" x14ac:dyDescent="0.25">
      <c r="A655" s="2">
        <v>2022</v>
      </c>
      <c r="B655" s="2">
        <v>7</v>
      </c>
      <c r="C655" s="2" t="s">
        <v>158</v>
      </c>
      <c r="D655" s="3">
        <v>44764</v>
      </c>
      <c r="E655" s="7">
        <v>0</v>
      </c>
      <c r="F655" s="2">
        <v>0</v>
      </c>
      <c r="G655" s="1"/>
      <c r="H655" s="1"/>
      <c r="I655" s="1">
        <v>175</v>
      </c>
      <c r="J655" s="116" t="str">
        <f t="shared" si="10"/>
        <v>평일</v>
      </c>
    </row>
    <row r="656" spans="1:10" ht="21.75" hidden="1" customHeight="1" x14ac:dyDescent="0.25">
      <c r="A656" s="2">
        <v>2022</v>
      </c>
      <c r="B656" s="2">
        <v>7</v>
      </c>
      <c r="C656" s="2" t="s">
        <v>159</v>
      </c>
      <c r="D656" s="3">
        <v>44765</v>
      </c>
      <c r="E656" s="7">
        <v>0</v>
      </c>
      <c r="F656" s="2">
        <v>0</v>
      </c>
      <c r="G656" s="1"/>
      <c r="H656" s="1"/>
      <c r="I656" s="1">
        <v>176</v>
      </c>
      <c r="J656" s="116" t="str">
        <f t="shared" si="10"/>
        <v>주말</v>
      </c>
    </row>
    <row r="657" spans="1:10" ht="21.75" hidden="1" customHeight="1" x14ac:dyDescent="0.25">
      <c r="A657" s="2">
        <v>2022</v>
      </c>
      <c r="B657" s="2">
        <v>7</v>
      </c>
      <c r="C657" s="2" t="s">
        <v>160</v>
      </c>
      <c r="D657" s="3">
        <v>44766</v>
      </c>
      <c r="E657" s="7">
        <v>0</v>
      </c>
      <c r="F657" s="2">
        <v>0</v>
      </c>
      <c r="G657" s="1"/>
      <c r="H657" s="1"/>
      <c r="I657" s="1">
        <v>177</v>
      </c>
      <c r="J657" s="116" t="str">
        <f t="shared" si="10"/>
        <v>주말</v>
      </c>
    </row>
    <row r="658" spans="1:10" ht="21.75" hidden="1" customHeight="1" x14ac:dyDescent="0.25">
      <c r="A658" s="2">
        <v>2022</v>
      </c>
      <c r="B658" s="2">
        <v>7</v>
      </c>
      <c r="C658" s="2" t="s">
        <v>161</v>
      </c>
      <c r="D658" s="3">
        <v>44767</v>
      </c>
      <c r="E658" s="7">
        <v>0</v>
      </c>
      <c r="F658" s="2">
        <v>0</v>
      </c>
      <c r="G658" s="1"/>
      <c r="H658" s="1"/>
      <c r="I658" s="1">
        <v>178</v>
      </c>
      <c r="J658" s="116" t="str">
        <f t="shared" si="10"/>
        <v>평일</v>
      </c>
    </row>
    <row r="659" spans="1:10" ht="21.75" hidden="1" customHeight="1" x14ac:dyDescent="0.25">
      <c r="A659" s="2">
        <v>2022</v>
      </c>
      <c r="B659" s="2">
        <v>7</v>
      </c>
      <c r="C659" s="2" t="s">
        <v>162</v>
      </c>
      <c r="D659" s="3">
        <v>44768</v>
      </c>
      <c r="E659" s="7">
        <v>0</v>
      </c>
      <c r="F659" s="2">
        <v>0</v>
      </c>
      <c r="G659" s="1"/>
      <c r="H659" s="1"/>
      <c r="I659" s="1">
        <v>179</v>
      </c>
      <c r="J659" s="116" t="str">
        <f t="shared" si="10"/>
        <v>평일</v>
      </c>
    </row>
    <row r="660" spans="1:10" ht="21.75" hidden="1" customHeight="1" x14ac:dyDescent="0.25">
      <c r="A660" s="2">
        <v>2022</v>
      </c>
      <c r="B660" s="2">
        <v>7</v>
      </c>
      <c r="C660" s="2" t="s">
        <v>163</v>
      </c>
      <c r="D660" s="3">
        <v>44769</v>
      </c>
      <c r="E660" s="7">
        <v>0</v>
      </c>
      <c r="F660" s="2">
        <v>0</v>
      </c>
      <c r="G660" s="1"/>
      <c r="H660" s="1"/>
      <c r="I660" s="1">
        <v>180</v>
      </c>
      <c r="J660" s="116" t="str">
        <f t="shared" si="10"/>
        <v>평일</v>
      </c>
    </row>
    <row r="661" spans="1:10" ht="21.75" hidden="1" customHeight="1" x14ac:dyDescent="0.25">
      <c r="A661" s="2">
        <v>2022</v>
      </c>
      <c r="B661" s="2">
        <v>7</v>
      </c>
      <c r="C661" s="2" t="s">
        <v>157</v>
      </c>
      <c r="D661" s="3">
        <v>44770</v>
      </c>
      <c r="E661" s="7">
        <v>0</v>
      </c>
      <c r="F661" s="2">
        <v>0</v>
      </c>
      <c r="G661" s="1"/>
      <c r="H661" s="1"/>
      <c r="I661" s="1">
        <v>181</v>
      </c>
      <c r="J661" s="116" t="str">
        <f t="shared" si="10"/>
        <v>평일</v>
      </c>
    </row>
    <row r="662" spans="1:10" ht="21.75" hidden="1" customHeight="1" x14ac:dyDescent="0.25">
      <c r="A662" s="2">
        <v>2022</v>
      </c>
      <c r="B662" s="2">
        <v>7</v>
      </c>
      <c r="C662" s="2" t="s">
        <v>158</v>
      </c>
      <c r="D662" s="3">
        <v>44771</v>
      </c>
      <c r="E662" s="7">
        <v>342</v>
      </c>
      <c r="F662" s="2" t="s">
        <v>11</v>
      </c>
      <c r="G662" s="1">
        <v>39</v>
      </c>
      <c r="H662" s="6">
        <v>303</v>
      </c>
      <c r="I662" s="1">
        <v>1</v>
      </c>
      <c r="J662" s="116" t="str">
        <f t="shared" si="10"/>
        <v>평일</v>
      </c>
    </row>
    <row r="663" spans="1:10" ht="21.75" hidden="1" customHeight="1" x14ac:dyDescent="0.25">
      <c r="A663" s="2">
        <v>2022</v>
      </c>
      <c r="B663" s="2">
        <v>7</v>
      </c>
      <c r="C663" s="2" t="s">
        <v>159</v>
      </c>
      <c r="D663" s="3">
        <v>44772</v>
      </c>
      <c r="E663" s="7">
        <v>453</v>
      </c>
      <c r="F663" s="2" t="s">
        <v>11</v>
      </c>
      <c r="G663" s="1">
        <v>92</v>
      </c>
      <c r="H663" s="6">
        <v>361</v>
      </c>
      <c r="I663" s="1">
        <v>2</v>
      </c>
      <c r="J663" s="116" t="str">
        <f t="shared" si="10"/>
        <v>주말</v>
      </c>
    </row>
    <row r="664" spans="1:10" ht="21.75" hidden="1" customHeight="1" x14ac:dyDescent="0.25">
      <c r="A664" s="2">
        <v>2022</v>
      </c>
      <c r="B664" s="2">
        <v>7</v>
      </c>
      <c r="C664" s="2" t="s">
        <v>160</v>
      </c>
      <c r="D664" s="3">
        <v>44773</v>
      </c>
      <c r="E664" s="7">
        <v>338</v>
      </c>
      <c r="F664" s="2" t="s">
        <v>11</v>
      </c>
      <c r="G664" s="1">
        <v>50</v>
      </c>
      <c r="H664" s="6">
        <v>288</v>
      </c>
      <c r="I664" s="1">
        <v>3</v>
      </c>
      <c r="J664" s="116" t="str">
        <f t="shared" si="10"/>
        <v>주말</v>
      </c>
    </row>
    <row r="665" spans="1:10" ht="21.75" hidden="1" customHeight="1" x14ac:dyDescent="0.25">
      <c r="A665" s="2">
        <v>2022</v>
      </c>
      <c r="B665" s="2">
        <v>8</v>
      </c>
      <c r="C665" s="2" t="s">
        <v>161</v>
      </c>
      <c r="D665" s="3">
        <v>44774</v>
      </c>
      <c r="E665" s="7">
        <v>212</v>
      </c>
      <c r="F665" s="2" t="s">
        <v>11</v>
      </c>
      <c r="G665" s="1">
        <v>20</v>
      </c>
      <c r="H665" s="6">
        <v>192</v>
      </c>
      <c r="I665" s="1">
        <v>4</v>
      </c>
      <c r="J665" s="116" t="str">
        <f t="shared" si="10"/>
        <v>평일</v>
      </c>
    </row>
    <row r="666" spans="1:10" ht="21.75" hidden="1" customHeight="1" x14ac:dyDescent="0.25">
      <c r="A666" s="2">
        <v>2022</v>
      </c>
      <c r="B666" s="2">
        <v>8</v>
      </c>
      <c r="C666" s="2" t="s">
        <v>162</v>
      </c>
      <c r="D666" s="3">
        <v>44775</v>
      </c>
      <c r="E666" s="7">
        <v>211</v>
      </c>
      <c r="F666" s="2" t="s">
        <v>11</v>
      </c>
      <c r="G666" s="1">
        <v>28</v>
      </c>
      <c r="H666" s="6">
        <v>183</v>
      </c>
      <c r="I666" s="1">
        <v>5</v>
      </c>
      <c r="J666" s="116" t="str">
        <f t="shared" si="10"/>
        <v>평일</v>
      </c>
    </row>
    <row r="667" spans="1:10" ht="21.75" hidden="1" customHeight="1" x14ac:dyDescent="0.25">
      <c r="A667" s="2">
        <v>2022</v>
      </c>
      <c r="B667" s="2">
        <v>8</v>
      </c>
      <c r="C667" s="2" t="s">
        <v>163</v>
      </c>
      <c r="D667" s="3">
        <v>44776</v>
      </c>
      <c r="E667" s="7">
        <v>302</v>
      </c>
      <c r="F667" s="2" t="s">
        <v>11</v>
      </c>
      <c r="G667" s="1">
        <v>33</v>
      </c>
      <c r="H667" s="6">
        <v>269</v>
      </c>
      <c r="I667" s="1">
        <v>6</v>
      </c>
      <c r="J667" s="116" t="str">
        <f t="shared" si="10"/>
        <v>평일</v>
      </c>
    </row>
    <row r="668" spans="1:10" ht="21.75" hidden="1" customHeight="1" x14ac:dyDescent="0.25">
      <c r="A668" s="2">
        <v>2022</v>
      </c>
      <c r="B668" s="2">
        <v>8</v>
      </c>
      <c r="C668" s="2" t="s">
        <v>157</v>
      </c>
      <c r="D668" s="3">
        <v>44777</v>
      </c>
      <c r="E668" s="7">
        <v>232</v>
      </c>
      <c r="F668" s="2" t="s">
        <v>11</v>
      </c>
      <c r="G668" s="1">
        <v>62</v>
      </c>
      <c r="H668" s="6">
        <v>170</v>
      </c>
      <c r="I668" s="1">
        <v>7</v>
      </c>
      <c r="J668" s="116" t="str">
        <f t="shared" si="10"/>
        <v>평일</v>
      </c>
    </row>
    <row r="669" spans="1:10" ht="21.75" hidden="1" customHeight="1" x14ac:dyDescent="0.25">
      <c r="A669" s="2">
        <v>2022</v>
      </c>
      <c r="B669" s="2">
        <v>8</v>
      </c>
      <c r="C669" s="2" t="s">
        <v>158</v>
      </c>
      <c r="D669" s="3">
        <v>44778</v>
      </c>
      <c r="E669" s="7">
        <v>240</v>
      </c>
      <c r="F669" s="2" t="s">
        <v>11</v>
      </c>
      <c r="G669" s="1">
        <v>28</v>
      </c>
      <c r="H669" s="6">
        <v>212</v>
      </c>
      <c r="I669" s="1">
        <v>8</v>
      </c>
      <c r="J669" s="116" t="str">
        <f t="shared" si="10"/>
        <v>평일</v>
      </c>
    </row>
    <row r="670" spans="1:10" ht="21.75" hidden="1" customHeight="1" x14ac:dyDescent="0.25">
      <c r="A670" s="2">
        <v>2022</v>
      </c>
      <c r="B670" s="2">
        <v>8</v>
      </c>
      <c r="C670" s="2" t="s">
        <v>159</v>
      </c>
      <c r="D670" s="3">
        <v>44779</v>
      </c>
      <c r="E670" s="7">
        <v>489</v>
      </c>
      <c r="F670" s="2" t="s">
        <v>11</v>
      </c>
      <c r="G670" s="1">
        <v>43</v>
      </c>
      <c r="H670" s="6">
        <v>446</v>
      </c>
      <c r="I670" s="1">
        <v>9</v>
      </c>
      <c r="J670" s="116" t="str">
        <f t="shared" si="10"/>
        <v>주말</v>
      </c>
    </row>
    <row r="671" spans="1:10" ht="21.75" hidden="1" customHeight="1" x14ac:dyDescent="0.25">
      <c r="A671" s="2">
        <v>2022</v>
      </c>
      <c r="B671" s="2">
        <v>8</v>
      </c>
      <c r="C671" s="2" t="s">
        <v>160</v>
      </c>
      <c r="D671" s="3">
        <v>44780</v>
      </c>
      <c r="E671" s="7">
        <v>417</v>
      </c>
      <c r="F671" s="2" t="s">
        <v>11</v>
      </c>
      <c r="G671" s="1">
        <v>50</v>
      </c>
      <c r="H671" s="6">
        <v>367</v>
      </c>
      <c r="I671" s="1">
        <v>10</v>
      </c>
      <c r="J671" s="116" t="str">
        <f t="shared" si="10"/>
        <v>주말</v>
      </c>
    </row>
    <row r="672" spans="1:10" ht="21.75" hidden="1" customHeight="1" x14ac:dyDescent="0.25">
      <c r="A672" s="2">
        <v>2022</v>
      </c>
      <c r="B672" s="2">
        <v>8</v>
      </c>
      <c r="C672" s="2" t="s">
        <v>161</v>
      </c>
      <c r="D672" s="3">
        <v>44781</v>
      </c>
      <c r="E672" s="7">
        <v>230</v>
      </c>
      <c r="F672" s="2" t="s">
        <v>11</v>
      </c>
      <c r="G672" s="1">
        <v>26</v>
      </c>
      <c r="H672" s="6">
        <v>204</v>
      </c>
      <c r="I672" s="1">
        <v>11</v>
      </c>
      <c r="J672" s="116" t="str">
        <f t="shared" si="10"/>
        <v>평일</v>
      </c>
    </row>
    <row r="673" spans="1:10" ht="21.75" hidden="1" customHeight="1" x14ac:dyDescent="0.25">
      <c r="A673" s="2">
        <v>2022</v>
      </c>
      <c r="B673" s="2">
        <v>8</v>
      </c>
      <c r="C673" s="2" t="s">
        <v>162</v>
      </c>
      <c r="D673" s="3">
        <v>44782</v>
      </c>
      <c r="E673" s="7">
        <v>146</v>
      </c>
      <c r="F673" s="2" t="s">
        <v>11</v>
      </c>
      <c r="G673" s="1">
        <v>18</v>
      </c>
      <c r="H673" s="6">
        <v>128</v>
      </c>
      <c r="I673" s="1">
        <v>12</v>
      </c>
      <c r="J673" s="116" t="str">
        <f t="shared" si="10"/>
        <v>평일</v>
      </c>
    </row>
    <row r="674" spans="1:10" ht="21.75" hidden="1" customHeight="1" x14ac:dyDescent="0.25">
      <c r="A674" s="2">
        <v>2022</v>
      </c>
      <c r="B674" s="2">
        <v>8</v>
      </c>
      <c r="C674" s="2" t="s">
        <v>163</v>
      </c>
      <c r="D674" s="3">
        <v>44783</v>
      </c>
      <c r="E674" s="7">
        <v>226</v>
      </c>
      <c r="F674" s="2" t="s">
        <v>11</v>
      </c>
      <c r="G674" s="1">
        <v>17</v>
      </c>
      <c r="H674" s="6">
        <v>209</v>
      </c>
      <c r="I674" s="1">
        <v>13</v>
      </c>
      <c r="J674" s="116" t="str">
        <f t="shared" si="10"/>
        <v>평일</v>
      </c>
    </row>
    <row r="675" spans="1:10" ht="21.75" hidden="1" customHeight="1" x14ac:dyDescent="0.25">
      <c r="A675" s="2">
        <v>2022</v>
      </c>
      <c r="B675" s="2">
        <v>8</v>
      </c>
      <c r="C675" s="2" t="s">
        <v>157</v>
      </c>
      <c r="D675" s="3">
        <v>44784</v>
      </c>
      <c r="E675" s="7">
        <v>181</v>
      </c>
      <c r="F675" s="2" t="s">
        <v>11</v>
      </c>
      <c r="G675" s="1">
        <v>33</v>
      </c>
      <c r="H675" s="6">
        <v>148</v>
      </c>
      <c r="I675" s="1">
        <v>14</v>
      </c>
      <c r="J675" s="116" t="str">
        <f t="shared" si="10"/>
        <v>평일</v>
      </c>
    </row>
    <row r="676" spans="1:10" ht="21.75" hidden="1" customHeight="1" x14ac:dyDescent="0.25">
      <c r="A676" s="2">
        <v>2022</v>
      </c>
      <c r="B676" s="2">
        <v>8</v>
      </c>
      <c r="C676" s="2" t="s">
        <v>158</v>
      </c>
      <c r="D676" s="3">
        <v>44785</v>
      </c>
      <c r="E676" s="7">
        <v>221</v>
      </c>
      <c r="F676" s="2" t="s">
        <v>11</v>
      </c>
      <c r="G676" s="1">
        <v>23</v>
      </c>
      <c r="H676" s="6">
        <v>198</v>
      </c>
      <c r="I676" s="1">
        <v>15</v>
      </c>
      <c r="J676" s="116" t="str">
        <f t="shared" si="10"/>
        <v>평일</v>
      </c>
    </row>
    <row r="677" spans="1:10" ht="21.75" hidden="1" customHeight="1" x14ac:dyDescent="0.25">
      <c r="A677" s="2">
        <v>2022</v>
      </c>
      <c r="B677" s="2">
        <v>8</v>
      </c>
      <c r="C677" s="2" t="s">
        <v>159</v>
      </c>
      <c r="D677" s="3">
        <v>44786</v>
      </c>
      <c r="E677" s="7">
        <v>453</v>
      </c>
      <c r="F677" s="2" t="s">
        <v>11</v>
      </c>
      <c r="G677" s="1">
        <v>66</v>
      </c>
      <c r="H677" s="6">
        <v>387</v>
      </c>
      <c r="I677" s="1">
        <v>16</v>
      </c>
      <c r="J677" s="116" t="str">
        <f t="shared" si="10"/>
        <v>주말</v>
      </c>
    </row>
    <row r="678" spans="1:10" ht="21.75" hidden="1" customHeight="1" x14ac:dyDescent="0.25">
      <c r="A678" s="2">
        <v>2022</v>
      </c>
      <c r="B678" s="2">
        <v>8</v>
      </c>
      <c r="C678" s="2" t="s">
        <v>160</v>
      </c>
      <c r="D678" s="3">
        <v>44787</v>
      </c>
      <c r="E678" s="7">
        <v>438</v>
      </c>
      <c r="F678" s="2" t="s">
        <v>11</v>
      </c>
      <c r="G678" s="1">
        <v>53</v>
      </c>
      <c r="H678" s="6">
        <v>385</v>
      </c>
      <c r="I678" s="1">
        <v>17</v>
      </c>
      <c r="J678" s="116" t="str">
        <f t="shared" si="10"/>
        <v>주말</v>
      </c>
    </row>
    <row r="679" spans="1:10" ht="21.75" hidden="1" customHeight="1" x14ac:dyDescent="0.25">
      <c r="A679" s="2">
        <v>2022</v>
      </c>
      <c r="B679" s="2">
        <v>8</v>
      </c>
      <c r="C679" s="2" t="s">
        <v>161</v>
      </c>
      <c r="D679" s="3">
        <v>44788</v>
      </c>
      <c r="E679" s="7">
        <v>474</v>
      </c>
      <c r="F679" s="2" t="s">
        <v>11</v>
      </c>
      <c r="G679" s="1">
        <v>68</v>
      </c>
      <c r="H679" s="6">
        <v>406</v>
      </c>
      <c r="I679" s="1">
        <v>18</v>
      </c>
      <c r="J679" s="116" t="str">
        <f t="shared" si="10"/>
        <v>평일</v>
      </c>
    </row>
    <row r="680" spans="1:10" ht="21.75" hidden="1" customHeight="1" x14ac:dyDescent="0.25">
      <c r="A680" s="2">
        <v>2022</v>
      </c>
      <c r="B680" s="2">
        <v>8</v>
      </c>
      <c r="C680" s="2" t="s">
        <v>162</v>
      </c>
      <c r="D680" s="3">
        <v>44789</v>
      </c>
      <c r="E680" s="7">
        <v>215</v>
      </c>
      <c r="F680" s="2" t="s">
        <v>11</v>
      </c>
      <c r="G680" s="1">
        <v>37</v>
      </c>
      <c r="H680" s="6">
        <v>178</v>
      </c>
      <c r="I680" s="1">
        <v>19</v>
      </c>
      <c r="J680" s="116" t="str">
        <f t="shared" si="10"/>
        <v>평일</v>
      </c>
    </row>
    <row r="681" spans="1:10" ht="21.75" hidden="1" customHeight="1" x14ac:dyDescent="0.25">
      <c r="A681" s="2">
        <v>2022</v>
      </c>
      <c r="B681" s="2">
        <v>8</v>
      </c>
      <c r="C681" s="2" t="s">
        <v>163</v>
      </c>
      <c r="D681" s="3">
        <v>44790</v>
      </c>
      <c r="E681" s="7">
        <v>155</v>
      </c>
      <c r="F681" s="2" t="s">
        <v>11</v>
      </c>
      <c r="G681" s="1">
        <v>9</v>
      </c>
      <c r="H681" s="6">
        <v>146</v>
      </c>
      <c r="I681" s="1">
        <v>20</v>
      </c>
      <c r="J681" s="116" t="str">
        <f t="shared" si="10"/>
        <v>평일</v>
      </c>
    </row>
    <row r="682" spans="1:10" ht="21.75" hidden="1" customHeight="1" x14ac:dyDescent="0.25">
      <c r="A682" s="2">
        <v>2022</v>
      </c>
      <c r="B682" s="2">
        <v>8</v>
      </c>
      <c r="C682" s="2" t="s">
        <v>157</v>
      </c>
      <c r="D682" s="3">
        <v>44791</v>
      </c>
      <c r="E682" s="7">
        <v>183</v>
      </c>
      <c r="F682" s="2" t="s">
        <v>11</v>
      </c>
      <c r="G682" s="1">
        <v>26</v>
      </c>
      <c r="H682" s="6">
        <v>157</v>
      </c>
      <c r="I682" s="1">
        <v>21</v>
      </c>
      <c r="J682" s="116" t="str">
        <f t="shared" si="10"/>
        <v>평일</v>
      </c>
    </row>
    <row r="683" spans="1:10" ht="21.75" hidden="1" customHeight="1" x14ac:dyDescent="0.25">
      <c r="A683" s="2">
        <v>2022</v>
      </c>
      <c r="B683" s="2">
        <v>8</v>
      </c>
      <c r="C683" s="2" t="s">
        <v>158</v>
      </c>
      <c r="D683" s="3">
        <v>44792</v>
      </c>
      <c r="E683" s="7">
        <v>226</v>
      </c>
      <c r="F683" s="2" t="s">
        <v>11</v>
      </c>
      <c r="G683" s="1">
        <v>32</v>
      </c>
      <c r="H683" s="6">
        <v>194</v>
      </c>
      <c r="I683" s="1">
        <v>22</v>
      </c>
      <c r="J683" s="116" t="str">
        <f t="shared" si="10"/>
        <v>평일</v>
      </c>
    </row>
    <row r="684" spans="1:10" ht="21.75" hidden="1" customHeight="1" x14ac:dyDescent="0.25">
      <c r="A684" s="2">
        <v>2022</v>
      </c>
      <c r="B684" s="2">
        <v>8</v>
      </c>
      <c r="C684" s="2" t="s">
        <v>159</v>
      </c>
      <c r="D684" s="3">
        <v>44793</v>
      </c>
      <c r="E684" s="7">
        <v>507</v>
      </c>
      <c r="F684" s="2" t="s">
        <v>11</v>
      </c>
      <c r="G684" s="1">
        <v>76</v>
      </c>
      <c r="H684" s="6">
        <v>431</v>
      </c>
      <c r="I684" s="1">
        <v>23</v>
      </c>
      <c r="J684" s="116" t="str">
        <f t="shared" si="10"/>
        <v>주말</v>
      </c>
    </row>
    <row r="685" spans="1:10" ht="21.75" hidden="1" customHeight="1" x14ac:dyDescent="0.25">
      <c r="A685" s="2">
        <v>2022</v>
      </c>
      <c r="B685" s="2">
        <v>8</v>
      </c>
      <c r="C685" s="2" t="s">
        <v>160</v>
      </c>
      <c r="D685" s="3">
        <v>44794</v>
      </c>
      <c r="E685" s="7">
        <v>395</v>
      </c>
      <c r="F685" s="2" t="s">
        <v>11</v>
      </c>
      <c r="G685" s="1">
        <v>64</v>
      </c>
      <c r="H685" s="6">
        <v>331</v>
      </c>
      <c r="I685" s="1">
        <v>24</v>
      </c>
      <c r="J685" s="116" t="str">
        <f t="shared" si="10"/>
        <v>주말</v>
      </c>
    </row>
    <row r="686" spans="1:10" ht="21.75" hidden="1" customHeight="1" x14ac:dyDescent="0.25">
      <c r="A686" s="2">
        <v>2022</v>
      </c>
      <c r="B686" s="2">
        <v>8</v>
      </c>
      <c r="C686" s="2" t="s">
        <v>161</v>
      </c>
      <c r="D686" s="3">
        <v>44795</v>
      </c>
      <c r="E686" s="7">
        <v>30</v>
      </c>
      <c r="F686" s="2" t="s">
        <v>11</v>
      </c>
      <c r="G686" s="1">
        <v>26</v>
      </c>
      <c r="H686" s="6">
        <v>4</v>
      </c>
      <c r="I686" s="1">
        <v>25</v>
      </c>
      <c r="J686" s="116" t="str">
        <f t="shared" si="10"/>
        <v>평일</v>
      </c>
    </row>
    <row r="687" spans="1:10" ht="21.75" hidden="1" customHeight="1" x14ac:dyDescent="0.25">
      <c r="A687" s="2">
        <v>2022</v>
      </c>
      <c r="B687" s="2">
        <v>8</v>
      </c>
      <c r="C687" s="2" t="s">
        <v>162</v>
      </c>
      <c r="D687" s="3">
        <v>44796</v>
      </c>
      <c r="E687" s="7">
        <v>210</v>
      </c>
      <c r="F687" s="2" t="s">
        <v>11</v>
      </c>
      <c r="G687" s="1">
        <v>50</v>
      </c>
      <c r="H687" s="6">
        <v>160</v>
      </c>
      <c r="I687" s="1">
        <v>26</v>
      </c>
      <c r="J687" s="116" t="str">
        <f t="shared" si="10"/>
        <v>평일</v>
      </c>
    </row>
    <row r="688" spans="1:10" ht="21.75" hidden="1" customHeight="1" x14ac:dyDescent="0.25">
      <c r="A688" s="2">
        <v>2022</v>
      </c>
      <c r="B688" s="2">
        <v>8</v>
      </c>
      <c r="C688" s="2" t="s">
        <v>163</v>
      </c>
      <c r="D688" s="3">
        <v>44797</v>
      </c>
      <c r="E688" s="7">
        <v>194</v>
      </c>
      <c r="F688" s="2" t="s">
        <v>11</v>
      </c>
      <c r="G688" s="1">
        <v>27</v>
      </c>
      <c r="H688" s="6">
        <v>167</v>
      </c>
      <c r="I688" s="1">
        <v>27</v>
      </c>
      <c r="J688" s="116" t="str">
        <f t="shared" si="10"/>
        <v>평일</v>
      </c>
    </row>
    <row r="689" spans="1:10" ht="21.75" hidden="1" customHeight="1" x14ac:dyDescent="0.25">
      <c r="A689" s="2">
        <v>2022</v>
      </c>
      <c r="B689" s="2">
        <v>8</v>
      </c>
      <c r="C689" s="2" t="s">
        <v>157</v>
      </c>
      <c r="D689" s="3">
        <v>44798</v>
      </c>
      <c r="E689" s="7">
        <v>212</v>
      </c>
      <c r="F689" s="2" t="s">
        <v>11</v>
      </c>
      <c r="G689" s="1">
        <v>33</v>
      </c>
      <c r="H689" s="6">
        <v>179</v>
      </c>
      <c r="I689" s="1">
        <v>28</v>
      </c>
      <c r="J689" s="116" t="str">
        <f t="shared" si="10"/>
        <v>평일</v>
      </c>
    </row>
    <row r="690" spans="1:10" ht="21.75" hidden="1" customHeight="1" x14ac:dyDescent="0.25">
      <c r="A690" s="2">
        <v>2022</v>
      </c>
      <c r="B690" s="2">
        <v>8</v>
      </c>
      <c r="C690" s="2" t="s">
        <v>158</v>
      </c>
      <c r="D690" s="3">
        <v>44799</v>
      </c>
      <c r="E690" s="7">
        <v>296</v>
      </c>
      <c r="F690" s="2" t="s">
        <v>11</v>
      </c>
      <c r="G690" s="1">
        <v>31</v>
      </c>
      <c r="H690" s="6">
        <v>265</v>
      </c>
      <c r="I690" s="1">
        <v>29</v>
      </c>
      <c r="J690" s="116" t="str">
        <f t="shared" si="10"/>
        <v>평일</v>
      </c>
    </row>
    <row r="691" spans="1:10" ht="21.75" hidden="1" customHeight="1" x14ac:dyDescent="0.25">
      <c r="A691" s="2">
        <v>2022</v>
      </c>
      <c r="B691" s="2">
        <v>8</v>
      </c>
      <c r="C691" s="2" t="s">
        <v>159</v>
      </c>
      <c r="D691" s="3">
        <v>44800</v>
      </c>
      <c r="E691" s="7">
        <v>602</v>
      </c>
      <c r="F691" s="2" t="s">
        <v>11</v>
      </c>
      <c r="G691" s="1">
        <v>79</v>
      </c>
      <c r="H691" s="6">
        <v>523</v>
      </c>
      <c r="I691" s="1">
        <v>30</v>
      </c>
      <c r="J691" s="116" t="str">
        <f t="shared" si="10"/>
        <v>주말</v>
      </c>
    </row>
    <row r="692" spans="1:10" ht="21.75" hidden="1" customHeight="1" x14ac:dyDescent="0.25">
      <c r="A692" s="2">
        <v>2022</v>
      </c>
      <c r="B692" s="2">
        <v>8</v>
      </c>
      <c r="C692" s="2" t="s">
        <v>160</v>
      </c>
      <c r="D692" s="3">
        <v>44801</v>
      </c>
      <c r="E692" s="7">
        <v>577</v>
      </c>
      <c r="F692" s="2" t="s">
        <v>11</v>
      </c>
      <c r="G692" s="1">
        <v>62</v>
      </c>
      <c r="H692" s="6">
        <v>515</v>
      </c>
      <c r="I692" s="1">
        <v>31</v>
      </c>
      <c r="J692" s="116" t="str">
        <f t="shared" si="10"/>
        <v>주말</v>
      </c>
    </row>
    <row r="693" spans="1:10" ht="21.75" hidden="1" customHeight="1" x14ac:dyDescent="0.25">
      <c r="A693" s="2">
        <v>2022</v>
      </c>
      <c r="B693" s="2">
        <v>8</v>
      </c>
      <c r="C693" s="2" t="s">
        <v>161</v>
      </c>
      <c r="D693" s="3">
        <v>44802</v>
      </c>
      <c r="E693" s="7">
        <v>254</v>
      </c>
      <c r="F693" s="2" t="s">
        <v>11</v>
      </c>
      <c r="G693" s="1">
        <v>46</v>
      </c>
      <c r="H693" s="6">
        <v>208</v>
      </c>
      <c r="I693" s="1">
        <v>32</v>
      </c>
      <c r="J693" s="116" t="str">
        <f t="shared" si="10"/>
        <v>평일</v>
      </c>
    </row>
    <row r="694" spans="1:10" ht="21.75" hidden="1" customHeight="1" x14ac:dyDescent="0.25">
      <c r="A694" s="2">
        <v>2022</v>
      </c>
      <c r="B694" s="2">
        <v>8</v>
      </c>
      <c r="C694" s="2" t="s">
        <v>162</v>
      </c>
      <c r="D694" s="3">
        <v>44803</v>
      </c>
      <c r="E694" s="7">
        <v>212</v>
      </c>
      <c r="F694" s="2" t="s">
        <v>11</v>
      </c>
      <c r="G694" s="1">
        <v>24</v>
      </c>
      <c r="H694" s="6">
        <v>188</v>
      </c>
      <c r="I694" s="1">
        <v>33</v>
      </c>
      <c r="J694" s="116" t="str">
        <f t="shared" si="10"/>
        <v>평일</v>
      </c>
    </row>
    <row r="695" spans="1:10" ht="21.75" hidden="1" customHeight="1" x14ac:dyDescent="0.25">
      <c r="A695" s="2">
        <v>2022</v>
      </c>
      <c r="B695" s="2">
        <v>8</v>
      </c>
      <c r="C695" s="2" t="s">
        <v>163</v>
      </c>
      <c r="D695" s="3">
        <v>44804</v>
      </c>
      <c r="E695" s="7">
        <v>349</v>
      </c>
      <c r="F695" s="2" t="s">
        <v>11</v>
      </c>
      <c r="G695" s="1">
        <v>22</v>
      </c>
      <c r="H695" s="6">
        <v>327</v>
      </c>
      <c r="I695" s="1">
        <v>34</v>
      </c>
      <c r="J695" s="116" t="str">
        <f t="shared" si="10"/>
        <v>평일</v>
      </c>
    </row>
    <row r="696" spans="1:10" ht="21.75" hidden="1" customHeight="1" x14ac:dyDescent="0.25">
      <c r="A696" s="2">
        <v>2022</v>
      </c>
      <c r="B696" s="2">
        <v>9</v>
      </c>
      <c r="C696" s="2" t="s">
        <v>157</v>
      </c>
      <c r="D696" s="3">
        <v>44805</v>
      </c>
      <c r="E696" s="7">
        <v>87</v>
      </c>
      <c r="F696" s="2" t="s">
        <v>11</v>
      </c>
      <c r="G696" s="1">
        <v>18</v>
      </c>
      <c r="H696" s="6">
        <v>69</v>
      </c>
      <c r="I696" s="1">
        <v>35</v>
      </c>
      <c r="J696" s="116" t="str">
        <f t="shared" si="10"/>
        <v>평일</v>
      </c>
    </row>
    <row r="697" spans="1:10" ht="21.75" hidden="1" customHeight="1" x14ac:dyDescent="0.25">
      <c r="A697" s="2">
        <v>2022</v>
      </c>
      <c r="B697" s="2">
        <v>9</v>
      </c>
      <c r="C697" s="2" t="s">
        <v>158</v>
      </c>
      <c r="D697" s="3">
        <v>44806</v>
      </c>
      <c r="E697" s="7">
        <v>163</v>
      </c>
      <c r="F697" s="2" t="s">
        <v>11</v>
      </c>
      <c r="G697" s="1">
        <v>44</v>
      </c>
      <c r="H697" s="6">
        <v>119</v>
      </c>
      <c r="I697" s="1">
        <v>36</v>
      </c>
      <c r="J697" s="116" t="str">
        <f t="shared" si="10"/>
        <v>평일</v>
      </c>
    </row>
    <row r="698" spans="1:10" ht="21.75" hidden="1" customHeight="1" x14ac:dyDescent="0.25">
      <c r="A698" s="2">
        <v>2022</v>
      </c>
      <c r="B698" s="2">
        <v>9</v>
      </c>
      <c r="C698" s="2" t="s">
        <v>159</v>
      </c>
      <c r="D698" s="3">
        <v>44807</v>
      </c>
      <c r="E698" s="7">
        <v>373</v>
      </c>
      <c r="F698" s="2" t="s">
        <v>11</v>
      </c>
      <c r="G698" s="1">
        <v>76</v>
      </c>
      <c r="H698" s="6">
        <v>297</v>
      </c>
      <c r="I698" s="1">
        <v>37</v>
      </c>
      <c r="J698" s="116" t="str">
        <f t="shared" si="10"/>
        <v>주말</v>
      </c>
    </row>
    <row r="699" spans="1:10" ht="21.75" hidden="1" customHeight="1" x14ac:dyDescent="0.25">
      <c r="A699" s="2">
        <v>2022</v>
      </c>
      <c r="B699" s="2">
        <v>9</v>
      </c>
      <c r="C699" s="2" t="s">
        <v>160</v>
      </c>
      <c r="D699" s="3">
        <v>44808</v>
      </c>
      <c r="E699" s="7">
        <v>275</v>
      </c>
      <c r="F699" s="2" t="s">
        <v>11</v>
      </c>
      <c r="G699" s="1">
        <v>53</v>
      </c>
      <c r="H699" s="6">
        <v>222</v>
      </c>
      <c r="I699" s="1">
        <v>38</v>
      </c>
      <c r="J699" s="116" t="str">
        <f t="shared" si="10"/>
        <v>주말</v>
      </c>
    </row>
    <row r="700" spans="1:10" ht="21.75" hidden="1" customHeight="1" x14ac:dyDescent="0.25">
      <c r="A700" s="2">
        <v>2022</v>
      </c>
      <c r="B700" s="2">
        <v>9</v>
      </c>
      <c r="C700" s="2" t="s">
        <v>161</v>
      </c>
      <c r="D700" s="3">
        <v>44809</v>
      </c>
      <c r="E700" s="7">
        <v>96</v>
      </c>
      <c r="F700" s="2" t="s">
        <v>11</v>
      </c>
      <c r="G700" s="1">
        <v>12</v>
      </c>
      <c r="H700" s="6">
        <v>84</v>
      </c>
      <c r="I700" s="1">
        <v>39</v>
      </c>
      <c r="J700" s="116" t="str">
        <f t="shared" si="10"/>
        <v>평일</v>
      </c>
    </row>
    <row r="701" spans="1:10" ht="21.75" hidden="1" customHeight="1" x14ac:dyDescent="0.25">
      <c r="A701" s="2">
        <v>2022</v>
      </c>
      <c r="B701" s="2">
        <v>9</v>
      </c>
      <c r="C701" s="2" t="s">
        <v>162</v>
      </c>
      <c r="D701" s="3">
        <v>44810</v>
      </c>
      <c r="E701" s="7">
        <v>76</v>
      </c>
      <c r="F701" s="2" t="s">
        <v>11</v>
      </c>
      <c r="G701" s="1">
        <v>24</v>
      </c>
      <c r="H701" s="6">
        <v>52</v>
      </c>
      <c r="I701" s="1">
        <v>40</v>
      </c>
      <c r="J701" s="116" t="str">
        <f t="shared" si="10"/>
        <v>평일</v>
      </c>
    </row>
    <row r="702" spans="1:10" ht="21.75" hidden="1" customHeight="1" x14ac:dyDescent="0.25">
      <c r="A702" s="2">
        <v>2022</v>
      </c>
      <c r="B702" s="2">
        <v>9</v>
      </c>
      <c r="C702" s="2" t="s">
        <v>163</v>
      </c>
      <c r="D702" s="3">
        <v>44811</v>
      </c>
      <c r="E702" s="7">
        <v>138</v>
      </c>
      <c r="F702" s="2" t="s">
        <v>11</v>
      </c>
      <c r="G702" s="1">
        <v>30</v>
      </c>
      <c r="H702" s="6">
        <v>108</v>
      </c>
      <c r="I702" s="1">
        <v>41</v>
      </c>
      <c r="J702" s="116" t="str">
        <f t="shared" si="10"/>
        <v>평일</v>
      </c>
    </row>
    <row r="703" spans="1:10" ht="21.75" hidden="1" customHeight="1" x14ac:dyDescent="0.25">
      <c r="A703" s="2">
        <v>2022</v>
      </c>
      <c r="B703" s="2">
        <v>9</v>
      </c>
      <c r="C703" s="2" t="s">
        <v>157</v>
      </c>
      <c r="D703" s="3">
        <v>44812</v>
      </c>
      <c r="E703" s="7">
        <v>127</v>
      </c>
      <c r="F703" s="2" t="s">
        <v>11</v>
      </c>
      <c r="G703" s="1">
        <v>32</v>
      </c>
      <c r="H703" s="6">
        <v>95</v>
      </c>
      <c r="I703" s="1">
        <v>42</v>
      </c>
      <c r="J703" s="116" t="str">
        <f t="shared" si="10"/>
        <v>평일</v>
      </c>
    </row>
    <row r="704" spans="1:10" ht="21.75" hidden="1" customHeight="1" x14ac:dyDescent="0.25">
      <c r="A704" s="2">
        <v>2022</v>
      </c>
      <c r="B704" s="2">
        <v>9</v>
      </c>
      <c r="C704" s="2" t="s">
        <v>158</v>
      </c>
      <c r="D704" s="3">
        <v>44813</v>
      </c>
      <c r="E704" s="7">
        <v>0</v>
      </c>
      <c r="F704" s="2" t="s">
        <v>11</v>
      </c>
      <c r="G704" s="1">
        <v>0</v>
      </c>
      <c r="H704" s="6">
        <v>0</v>
      </c>
      <c r="I704" s="1">
        <v>43</v>
      </c>
      <c r="J704" s="116" t="str">
        <f t="shared" si="10"/>
        <v>평일</v>
      </c>
    </row>
    <row r="705" spans="1:10" ht="21.75" hidden="1" customHeight="1" x14ac:dyDescent="0.25">
      <c r="A705" s="2">
        <v>2022</v>
      </c>
      <c r="B705" s="2">
        <v>9</v>
      </c>
      <c r="C705" s="2" t="s">
        <v>159</v>
      </c>
      <c r="D705" s="3">
        <v>44814</v>
      </c>
      <c r="E705" s="7">
        <v>0</v>
      </c>
      <c r="F705" s="2" t="s">
        <v>11</v>
      </c>
      <c r="G705" s="1">
        <v>0</v>
      </c>
      <c r="H705" s="6">
        <v>0</v>
      </c>
      <c r="I705" s="1">
        <v>44</v>
      </c>
      <c r="J705" s="116" t="str">
        <f t="shared" si="10"/>
        <v>주말</v>
      </c>
    </row>
    <row r="706" spans="1:10" ht="21.75" hidden="1" customHeight="1" x14ac:dyDescent="0.25">
      <c r="A706" s="2">
        <v>2022</v>
      </c>
      <c r="B706" s="2">
        <v>9</v>
      </c>
      <c r="C706" s="2" t="s">
        <v>160</v>
      </c>
      <c r="D706" s="3">
        <v>44815</v>
      </c>
      <c r="E706" s="7">
        <v>295</v>
      </c>
      <c r="F706" s="2" t="s">
        <v>11</v>
      </c>
      <c r="G706" s="1">
        <v>55</v>
      </c>
      <c r="H706" s="6">
        <v>240</v>
      </c>
      <c r="I706" s="1">
        <v>45</v>
      </c>
      <c r="J706" s="116" t="str">
        <f t="shared" si="10"/>
        <v>주말</v>
      </c>
    </row>
    <row r="707" spans="1:10" ht="21.75" hidden="1" customHeight="1" x14ac:dyDescent="0.25">
      <c r="A707" s="2">
        <v>2022</v>
      </c>
      <c r="B707" s="2">
        <v>9</v>
      </c>
      <c r="C707" s="2" t="s">
        <v>161</v>
      </c>
      <c r="D707" s="3">
        <v>44816</v>
      </c>
      <c r="E707" s="7">
        <v>327</v>
      </c>
      <c r="F707" s="2" t="s">
        <v>11</v>
      </c>
      <c r="G707" s="1">
        <v>77</v>
      </c>
      <c r="H707" s="6">
        <v>250</v>
      </c>
      <c r="I707" s="1">
        <v>46</v>
      </c>
      <c r="J707" s="116" t="str">
        <f t="shared" ref="J707:J770" si="11">+IF(OR(C707="토",C707="일"),"주말","평일")</f>
        <v>평일</v>
      </c>
    </row>
    <row r="708" spans="1:10" ht="21.75" hidden="1" customHeight="1" x14ac:dyDescent="0.25">
      <c r="A708" s="2">
        <v>2022</v>
      </c>
      <c r="B708" s="2">
        <v>9</v>
      </c>
      <c r="C708" s="2" t="s">
        <v>162</v>
      </c>
      <c r="D708" s="3">
        <v>44817</v>
      </c>
      <c r="E708" s="7">
        <v>77</v>
      </c>
      <c r="F708" s="2" t="s">
        <v>11</v>
      </c>
      <c r="G708" s="1">
        <v>8</v>
      </c>
      <c r="H708" s="6">
        <v>69</v>
      </c>
      <c r="I708" s="1">
        <v>47</v>
      </c>
      <c r="J708" s="116" t="str">
        <f t="shared" si="11"/>
        <v>평일</v>
      </c>
    </row>
    <row r="709" spans="1:10" ht="21.75" hidden="1" customHeight="1" x14ac:dyDescent="0.25">
      <c r="A709" s="2">
        <v>2022</v>
      </c>
      <c r="B709" s="2">
        <v>9</v>
      </c>
      <c r="C709" s="2" t="s">
        <v>163</v>
      </c>
      <c r="D709" s="3">
        <v>44818</v>
      </c>
      <c r="E709" s="7">
        <v>79</v>
      </c>
      <c r="F709" s="2" t="s">
        <v>11</v>
      </c>
      <c r="G709" s="1">
        <v>13</v>
      </c>
      <c r="H709" s="6">
        <v>66</v>
      </c>
      <c r="I709" s="1">
        <v>48</v>
      </c>
      <c r="J709" s="116" t="str">
        <f t="shared" si="11"/>
        <v>평일</v>
      </c>
    </row>
    <row r="710" spans="1:10" ht="21.75" hidden="1" customHeight="1" x14ac:dyDescent="0.25">
      <c r="A710" s="2">
        <v>2022</v>
      </c>
      <c r="B710" s="2">
        <v>9</v>
      </c>
      <c r="C710" s="2" t="s">
        <v>157</v>
      </c>
      <c r="D710" s="3">
        <v>44819</v>
      </c>
      <c r="E710" s="7">
        <v>198</v>
      </c>
      <c r="F710" s="2" t="s">
        <v>11</v>
      </c>
      <c r="G710" s="1">
        <v>31</v>
      </c>
      <c r="H710" s="6">
        <v>167</v>
      </c>
      <c r="I710" s="1">
        <v>49</v>
      </c>
      <c r="J710" s="116" t="str">
        <f t="shared" si="11"/>
        <v>평일</v>
      </c>
    </row>
    <row r="711" spans="1:10" ht="21.75" hidden="1" customHeight="1" x14ac:dyDescent="0.25">
      <c r="A711" s="2">
        <v>2022</v>
      </c>
      <c r="B711" s="2">
        <v>9</v>
      </c>
      <c r="C711" s="2" t="s">
        <v>158</v>
      </c>
      <c r="D711" s="3">
        <v>44820</v>
      </c>
      <c r="E711" s="7">
        <v>234</v>
      </c>
      <c r="F711" s="2" t="s">
        <v>11</v>
      </c>
      <c r="G711" s="1">
        <v>40</v>
      </c>
      <c r="H711" s="6">
        <v>194</v>
      </c>
      <c r="I711" s="1">
        <v>50</v>
      </c>
      <c r="J711" s="116" t="str">
        <f t="shared" si="11"/>
        <v>평일</v>
      </c>
    </row>
    <row r="712" spans="1:10" ht="21.75" hidden="1" customHeight="1" x14ac:dyDescent="0.25">
      <c r="A712" s="2">
        <v>2022</v>
      </c>
      <c r="B712" s="2">
        <v>9</v>
      </c>
      <c r="C712" s="2" t="s">
        <v>159</v>
      </c>
      <c r="D712" s="3">
        <v>44821</v>
      </c>
      <c r="E712" s="7">
        <v>317</v>
      </c>
      <c r="F712" s="2" t="s">
        <v>11</v>
      </c>
      <c r="G712" s="1">
        <v>49</v>
      </c>
      <c r="H712" s="6">
        <v>268</v>
      </c>
      <c r="I712" s="1">
        <v>51</v>
      </c>
      <c r="J712" s="116" t="str">
        <f t="shared" si="11"/>
        <v>주말</v>
      </c>
    </row>
    <row r="713" spans="1:10" ht="21.75" hidden="1" customHeight="1" x14ac:dyDescent="0.25">
      <c r="A713" s="2">
        <v>2022</v>
      </c>
      <c r="B713" s="2">
        <v>9</v>
      </c>
      <c r="C713" s="2" t="s">
        <v>160</v>
      </c>
      <c r="D713" s="3">
        <v>44822</v>
      </c>
      <c r="E713" s="7">
        <v>280</v>
      </c>
      <c r="F713" s="2" t="s">
        <v>11</v>
      </c>
      <c r="G713" s="1">
        <v>60</v>
      </c>
      <c r="H713" s="6">
        <v>220</v>
      </c>
      <c r="I713" s="1">
        <v>52</v>
      </c>
      <c r="J713" s="116" t="str">
        <f t="shared" si="11"/>
        <v>주말</v>
      </c>
    </row>
    <row r="714" spans="1:10" ht="21.75" hidden="1" customHeight="1" x14ac:dyDescent="0.25">
      <c r="A714" s="2">
        <v>2022</v>
      </c>
      <c r="B714" s="2">
        <v>9</v>
      </c>
      <c r="C714" s="2" t="s">
        <v>161</v>
      </c>
      <c r="D714" s="3">
        <v>44823</v>
      </c>
      <c r="E714" s="7">
        <v>125</v>
      </c>
      <c r="F714" s="2" t="s">
        <v>11</v>
      </c>
      <c r="G714" s="1">
        <v>38</v>
      </c>
      <c r="H714" s="6">
        <v>87</v>
      </c>
      <c r="I714" s="1">
        <v>53</v>
      </c>
      <c r="J714" s="116" t="str">
        <f t="shared" si="11"/>
        <v>평일</v>
      </c>
    </row>
    <row r="715" spans="1:10" ht="21.75" hidden="1" customHeight="1" x14ac:dyDescent="0.25">
      <c r="A715" s="2">
        <v>2022</v>
      </c>
      <c r="B715" s="2">
        <v>9</v>
      </c>
      <c r="C715" s="2" t="s">
        <v>162</v>
      </c>
      <c r="D715" s="3">
        <v>44824</v>
      </c>
      <c r="E715" s="7">
        <v>104</v>
      </c>
      <c r="F715" s="2" t="s">
        <v>11</v>
      </c>
      <c r="G715" s="1">
        <v>15</v>
      </c>
      <c r="H715" s="6">
        <v>89</v>
      </c>
      <c r="I715" s="1">
        <v>54</v>
      </c>
      <c r="J715" s="116" t="str">
        <f t="shared" si="11"/>
        <v>평일</v>
      </c>
    </row>
    <row r="716" spans="1:10" ht="21.75" hidden="1" customHeight="1" x14ac:dyDescent="0.25">
      <c r="A716" s="2">
        <v>2022</v>
      </c>
      <c r="B716" s="2">
        <v>9</v>
      </c>
      <c r="C716" s="2" t="s">
        <v>163</v>
      </c>
      <c r="D716" s="3">
        <v>44825</v>
      </c>
      <c r="E716" s="7">
        <v>120</v>
      </c>
      <c r="F716" s="2" t="s">
        <v>11</v>
      </c>
      <c r="G716" s="1">
        <v>11</v>
      </c>
      <c r="H716" s="6">
        <v>109</v>
      </c>
      <c r="I716" s="1">
        <v>55</v>
      </c>
      <c r="J716" s="116" t="str">
        <f t="shared" si="11"/>
        <v>평일</v>
      </c>
    </row>
    <row r="717" spans="1:10" ht="21.75" hidden="1" customHeight="1" x14ac:dyDescent="0.25">
      <c r="A717" s="2">
        <v>2022</v>
      </c>
      <c r="B717" s="2">
        <v>9</v>
      </c>
      <c r="C717" s="2" t="s">
        <v>157</v>
      </c>
      <c r="D717" s="3">
        <v>44826</v>
      </c>
      <c r="E717" s="7">
        <v>86</v>
      </c>
      <c r="F717" s="2" t="s">
        <v>11</v>
      </c>
      <c r="G717" s="1">
        <v>37</v>
      </c>
      <c r="H717" s="6">
        <v>49</v>
      </c>
      <c r="I717" s="1">
        <v>56</v>
      </c>
      <c r="J717" s="116" t="str">
        <f t="shared" si="11"/>
        <v>평일</v>
      </c>
    </row>
    <row r="718" spans="1:10" ht="21.75" hidden="1" customHeight="1" x14ac:dyDescent="0.25">
      <c r="A718" s="2">
        <v>2022</v>
      </c>
      <c r="B718" s="2">
        <v>9</v>
      </c>
      <c r="C718" s="2" t="s">
        <v>158</v>
      </c>
      <c r="D718" s="3">
        <v>44827</v>
      </c>
      <c r="E718" s="7">
        <v>147</v>
      </c>
      <c r="F718" s="2" t="s">
        <v>11</v>
      </c>
      <c r="G718" s="1">
        <v>23</v>
      </c>
      <c r="H718" s="6">
        <v>124</v>
      </c>
      <c r="I718" s="1">
        <v>57</v>
      </c>
      <c r="J718" s="116" t="str">
        <f t="shared" si="11"/>
        <v>평일</v>
      </c>
    </row>
    <row r="719" spans="1:10" ht="21.75" hidden="1" customHeight="1" x14ac:dyDescent="0.25">
      <c r="A719" s="2">
        <v>2022</v>
      </c>
      <c r="B719" s="2">
        <v>9</v>
      </c>
      <c r="C719" s="2" t="s">
        <v>159</v>
      </c>
      <c r="D719" s="3">
        <v>44828</v>
      </c>
      <c r="E719" s="7">
        <v>348</v>
      </c>
      <c r="F719" s="2" t="s">
        <v>11</v>
      </c>
      <c r="G719" s="1">
        <v>68</v>
      </c>
      <c r="H719" s="6">
        <v>280</v>
      </c>
      <c r="I719" s="1">
        <v>58</v>
      </c>
      <c r="J719" s="116" t="str">
        <f t="shared" si="11"/>
        <v>주말</v>
      </c>
    </row>
    <row r="720" spans="1:10" ht="21.75" hidden="1" customHeight="1" x14ac:dyDescent="0.25">
      <c r="A720" s="2">
        <v>2022</v>
      </c>
      <c r="B720" s="2">
        <v>9</v>
      </c>
      <c r="C720" s="2" t="s">
        <v>160</v>
      </c>
      <c r="D720" s="3">
        <v>44829</v>
      </c>
      <c r="E720" s="7">
        <v>262</v>
      </c>
      <c r="F720" s="2" t="s">
        <v>11</v>
      </c>
      <c r="G720" s="1">
        <v>57</v>
      </c>
      <c r="H720" s="6">
        <v>205</v>
      </c>
      <c r="I720" s="1">
        <v>59</v>
      </c>
      <c r="J720" s="116" t="str">
        <f t="shared" si="11"/>
        <v>주말</v>
      </c>
    </row>
    <row r="721" spans="1:10" ht="21.75" hidden="1" customHeight="1" x14ac:dyDescent="0.25">
      <c r="A721" s="2">
        <v>2022</v>
      </c>
      <c r="B721" s="2">
        <v>9</v>
      </c>
      <c r="C721" s="2" t="s">
        <v>161</v>
      </c>
      <c r="D721" s="3">
        <v>44830</v>
      </c>
      <c r="E721" s="7">
        <v>99</v>
      </c>
      <c r="F721" s="2" t="s">
        <v>11</v>
      </c>
      <c r="G721" s="1">
        <v>16</v>
      </c>
      <c r="H721" s="6">
        <v>83</v>
      </c>
      <c r="I721" s="1">
        <v>60</v>
      </c>
      <c r="J721" s="116" t="str">
        <f t="shared" si="11"/>
        <v>평일</v>
      </c>
    </row>
    <row r="722" spans="1:10" ht="21.75" hidden="1" customHeight="1" x14ac:dyDescent="0.25">
      <c r="A722" s="2">
        <v>2022</v>
      </c>
      <c r="B722" s="2">
        <v>9</v>
      </c>
      <c r="C722" s="2" t="s">
        <v>162</v>
      </c>
      <c r="D722" s="3">
        <v>44831</v>
      </c>
      <c r="E722" s="7">
        <v>87</v>
      </c>
      <c r="F722" s="2" t="s">
        <v>11</v>
      </c>
      <c r="G722" s="1">
        <v>15</v>
      </c>
      <c r="H722" s="6">
        <v>72</v>
      </c>
      <c r="I722" s="1">
        <v>61</v>
      </c>
      <c r="J722" s="116" t="str">
        <f t="shared" si="11"/>
        <v>평일</v>
      </c>
    </row>
    <row r="723" spans="1:10" ht="21.75" hidden="1" customHeight="1" x14ac:dyDescent="0.25">
      <c r="A723" s="2">
        <v>2022</v>
      </c>
      <c r="B723" s="2">
        <v>9</v>
      </c>
      <c r="C723" s="2" t="s">
        <v>163</v>
      </c>
      <c r="D723" s="3">
        <v>44832</v>
      </c>
      <c r="E723" s="7">
        <v>169</v>
      </c>
      <c r="F723" s="2" t="s">
        <v>11</v>
      </c>
      <c r="G723" s="1">
        <v>36</v>
      </c>
      <c r="H723" s="6">
        <v>133</v>
      </c>
      <c r="I723" s="1">
        <v>62</v>
      </c>
      <c r="J723" s="116" t="str">
        <f t="shared" si="11"/>
        <v>평일</v>
      </c>
    </row>
    <row r="724" spans="1:10" ht="21.75" hidden="1" customHeight="1" x14ac:dyDescent="0.25">
      <c r="A724" s="2">
        <v>2022</v>
      </c>
      <c r="B724" s="2">
        <v>9</v>
      </c>
      <c r="C724" s="2" t="s">
        <v>157</v>
      </c>
      <c r="D724" s="3">
        <v>44833</v>
      </c>
      <c r="E724" s="7">
        <v>73</v>
      </c>
      <c r="F724" s="2" t="s">
        <v>11</v>
      </c>
      <c r="G724" s="1">
        <v>25</v>
      </c>
      <c r="H724" s="6">
        <v>48</v>
      </c>
      <c r="I724" s="1">
        <v>63</v>
      </c>
      <c r="J724" s="116" t="str">
        <f t="shared" si="11"/>
        <v>평일</v>
      </c>
    </row>
    <row r="725" spans="1:10" ht="21.75" hidden="1" customHeight="1" x14ac:dyDescent="0.25">
      <c r="A725" s="2">
        <v>2022</v>
      </c>
      <c r="B725" s="2">
        <v>9</v>
      </c>
      <c r="C725" s="2" t="s">
        <v>158</v>
      </c>
      <c r="D725" s="3">
        <v>44834</v>
      </c>
      <c r="E725" s="7">
        <v>136</v>
      </c>
      <c r="F725" s="2" t="s">
        <v>11</v>
      </c>
      <c r="G725" s="1">
        <v>28</v>
      </c>
      <c r="H725" s="6">
        <v>108</v>
      </c>
      <c r="I725" s="1">
        <v>64</v>
      </c>
      <c r="J725" s="116" t="str">
        <f t="shared" si="11"/>
        <v>평일</v>
      </c>
    </row>
    <row r="726" spans="1:10" ht="21.75" hidden="1" customHeight="1" x14ac:dyDescent="0.25">
      <c r="A726" s="2">
        <v>2022</v>
      </c>
      <c r="B726" s="2">
        <v>10</v>
      </c>
      <c r="C726" s="2" t="s">
        <v>159</v>
      </c>
      <c r="D726" s="3">
        <v>44835</v>
      </c>
      <c r="E726" s="7">
        <v>400</v>
      </c>
      <c r="F726" s="2" t="s">
        <v>11</v>
      </c>
      <c r="G726" s="1">
        <v>62</v>
      </c>
      <c r="H726" s="6">
        <v>338</v>
      </c>
      <c r="I726" s="1">
        <v>65</v>
      </c>
      <c r="J726" s="116" t="str">
        <f t="shared" si="11"/>
        <v>주말</v>
      </c>
    </row>
    <row r="727" spans="1:10" ht="21.75" hidden="1" customHeight="1" x14ac:dyDescent="0.25">
      <c r="A727" s="2">
        <v>2022</v>
      </c>
      <c r="B727" s="2">
        <v>10</v>
      </c>
      <c r="C727" s="2" t="s">
        <v>160</v>
      </c>
      <c r="D727" s="3">
        <v>44836</v>
      </c>
      <c r="E727" s="7">
        <v>439</v>
      </c>
      <c r="F727" s="2" t="s">
        <v>11</v>
      </c>
      <c r="G727" s="1">
        <v>85</v>
      </c>
      <c r="H727" s="6">
        <v>354</v>
      </c>
      <c r="I727" s="1">
        <v>66</v>
      </c>
      <c r="J727" s="116" t="str">
        <f t="shared" si="11"/>
        <v>주말</v>
      </c>
    </row>
    <row r="728" spans="1:10" ht="21.75" hidden="1" customHeight="1" x14ac:dyDescent="0.25">
      <c r="A728" s="2">
        <v>2022</v>
      </c>
      <c r="B728" s="2">
        <v>10</v>
      </c>
      <c r="C728" s="2" t="s">
        <v>161</v>
      </c>
      <c r="D728" s="3">
        <v>44837</v>
      </c>
      <c r="E728" s="7">
        <v>355</v>
      </c>
      <c r="F728" s="2" t="s">
        <v>11</v>
      </c>
      <c r="G728" s="1">
        <v>85</v>
      </c>
      <c r="H728" s="6">
        <v>270</v>
      </c>
      <c r="I728" s="1">
        <v>67</v>
      </c>
      <c r="J728" s="116" t="str">
        <f t="shared" si="11"/>
        <v>평일</v>
      </c>
    </row>
    <row r="729" spans="1:10" ht="21.75" hidden="1" customHeight="1" x14ac:dyDescent="0.25">
      <c r="A729" s="2">
        <v>2022</v>
      </c>
      <c r="B729" s="2">
        <v>10</v>
      </c>
      <c r="C729" s="2" t="s">
        <v>162</v>
      </c>
      <c r="D729" s="3">
        <v>44838</v>
      </c>
      <c r="E729" s="7">
        <v>61</v>
      </c>
      <c r="F729" s="2" t="s">
        <v>11</v>
      </c>
      <c r="G729" s="1">
        <v>16</v>
      </c>
      <c r="H729" s="6">
        <v>45</v>
      </c>
      <c r="I729" s="1">
        <v>68</v>
      </c>
      <c r="J729" s="116" t="str">
        <f t="shared" si="11"/>
        <v>평일</v>
      </c>
    </row>
    <row r="730" spans="1:10" ht="21.75" hidden="1" customHeight="1" x14ac:dyDescent="0.25">
      <c r="A730" s="2">
        <v>2022</v>
      </c>
      <c r="B730" s="2">
        <v>10</v>
      </c>
      <c r="C730" s="2" t="s">
        <v>163</v>
      </c>
      <c r="D730" s="3">
        <v>44839</v>
      </c>
      <c r="E730" s="7">
        <v>78</v>
      </c>
      <c r="F730" s="2" t="s">
        <v>11</v>
      </c>
      <c r="G730" s="1">
        <v>15</v>
      </c>
      <c r="H730" s="6">
        <v>63</v>
      </c>
      <c r="I730" s="1">
        <v>69</v>
      </c>
      <c r="J730" s="116" t="str">
        <f t="shared" si="11"/>
        <v>평일</v>
      </c>
    </row>
    <row r="731" spans="1:10" ht="21.75" hidden="1" customHeight="1" x14ac:dyDescent="0.25">
      <c r="A731" s="2">
        <v>2022</v>
      </c>
      <c r="B731" s="2">
        <v>10</v>
      </c>
      <c r="C731" s="2" t="s">
        <v>157</v>
      </c>
      <c r="D731" s="3">
        <v>44840</v>
      </c>
      <c r="E731" s="7">
        <v>92</v>
      </c>
      <c r="F731" s="2" t="s">
        <v>11</v>
      </c>
      <c r="G731" s="1">
        <v>24</v>
      </c>
      <c r="H731" s="6">
        <v>68</v>
      </c>
      <c r="I731" s="1">
        <v>70</v>
      </c>
      <c r="J731" s="116" t="str">
        <f t="shared" si="11"/>
        <v>평일</v>
      </c>
    </row>
    <row r="732" spans="1:10" ht="21.75" hidden="1" customHeight="1" x14ac:dyDescent="0.25">
      <c r="A732" s="2">
        <v>2022</v>
      </c>
      <c r="B732" s="2">
        <v>10</v>
      </c>
      <c r="C732" s="2" t="s">
        <v>158</v>
      </c>
      <c r="D732" s="3">
        <v>44841</v>
      </c>
      <c r="E732" s="7">
        <v>134</v>
      </c>
      <c r="F732" s="2" t="s">
        <v>11</v>
      </c>
      <c r="G732" s="1">
        <v>19</v>
      </c>
      <c r="H732" s="6">
        <v>115</v>
      </c>
      <c r="I732" s="1">
        <v>71</v>
      </c>
      <c r="J732" s="116" t="str">
        <f t="shared" si="11"/>
        <v>평일</v>
      </c>
    </row>
    <row r="733" spans="1:10" ht="21.75" hidden="1" customHeight="1" x14ac:dyDescent="0.25">
      <c r="A733" s="2">
        <v>2022</v>
      </c>
      <c r="B733" s="2">
        <v>10</v>
      </c>
      <c r="C733" s="2" t="s">
        <v>159</v>
      </c>
      <c r="D733" s="3">
        <v>44842</v>
      </c>
      <c r="E733" s="7">
        <v>450</v>
      </c>
      <c r="F733" s="2" t="s">
        <v>11</v>
      </c>
      <c r="G733" s="1">
        <v>74</v>
      </c>
      <c r="H733" s="6">
        <v>376</v>
      </c>
      <c r="I733" s="1">
        <v>72</v>
      </c>
      <c r="J733" s="116" t="str">
        <f t="shared" si="11"/>
        <v>주말</v>
      </c>
    </row>
    <row r="734" spans="1:10" ht="21.75" hidden="1" customHeight="1" x14ac:dyDescent="0.25">
      <c r="A734" s="2">
        <v>2022</v>
      </c>
      <c r="B734" s="2">
        <v>10</v>
      </c>
      <c r="C734" s="2" t="s">
        <v>160</v>
      </c>
      <c r="D734" s="3">
        <v>44843</v>
      </c>
      <c r="E734" s="7">
        <v>510</v>
      </c>
      <c r="F734" s="2" t="s">
        <v>11</v>
      </c>
      <c r="G734" s="1">
        <v>95</v>
      </c>
      <c r="H734" s="6">
        <v>415</v>
      </c>
      <c r="I734" s="1">
        <v>73</v>
      </c>
      <c r="J734" s="116" t="str">
        <f t="shared" si="11"/>
        <v>주말</v>
      </c>
    </row>
    <row r="735" spans="1:10" ht="21.75" hidden="1" customHeight="1" x14ac:dyDescent="0.25">
      <c r="A735" s="2">
        <v>2022</v>
      </c>
      <c r="B735" s="2">
        <v>10</v>
      </c>
      <c r="C735" s="2" t="s">
        <v>161</v>
      </c>
      <c r="D735" s="3">
        <v>44844</v>
      </c>
      <c r="E735" s="7">
        <v>372</v>
      </c>
      <c r="F735" s="2" t="s">
        <v>11</v>
      </c>
      <c r="G735" s="1">
        <v>81</v>
      </c>
      <c r="H735" s="6">
        <v>291</v>
      </c>
      <c r="I735" s="1">
        <v>74</v>
      </c>
      <c r="J735" s="116" t="str">
        <f t="shared" si="11"/>
        <v>평일</v>
      </c>
    </row>
    <row r="736" spans="1:10" ht="21.75" hidden="1" customHeight="1" x14ac:dyDescent="0.25">
      <c r="A736" s="2">
        <v>2022</v>
      </c>
      <c r="B736" s="2">
        <v>10</v>
      </c>
      <c r="C736" s="2" t="s">
        <v>162</v>
      </c>
      <c r="D736" s="3">
        <v>44845</v>
      </c>
      <c r="E736" s="7">
        <v>82</v>
      </c>
      <c r="F736" s="2" t="s">
        <v>11</v>
      </c>
      <c r="G736" s="1">
        <v>18</v>
      </c>
      <c r="H736" s="6">
        <v>64</v>
      </c>
      <c r="I736" s="1">
        <v>75</v>
      </c>
      <c r="J736" s="116" t="str">
        <f t="shared" si="11"/>
        <v>평일</v>
      </c>
    </row>
    <row r="737" spans="1:10" ht="21.75" hidden="1" customHeight="1" x14ac:dyDescent="0.25">
      <c r="A737" s="2">
        <v>2022</v>
      </c>
      <c r="B737" s="2">
        <v>10</v>
      </c>
      <c r="C737" s="2" t="s">
        <v>163</v>
      </c>
      <c r="D737" s="3">
        <v>44846</v>
      </c>
      <c r="E737" s="7">
        <v>124</v>
      </c>
      <c r="F737" s="2" t="s">
        <v>11</v>
      </c>
      <c r="G737" s="1">
        <v>20</v>
      </c>
      <c r="H737" s="6">
        <v>104</v>
      </c>
      <c r="I737" s="1">
        <v>76</v>
      </c>
      <c r="J737" s="116" t="str">
        <f t="shared" si="11"/>
        <v>평일</v>
      </c>
    </row>
    <row r="738" spans="1:10" ht="21.75" hidden="1" customHeight="1" x14ac:dyDescent="0.25">
      <c r="A738" s="2">
        <v>2022</v>
      </c>
      <c r="B738" s="2">
        <v>10</v>
      </c>
      <c r="C738" s="2" t="s">
        <v>157</v>
      </c>
      <c r="D738" s="3">
        <v>44847</v>
      </c>
      <c r="E738" s="7">
        <v>70</v>
      </c>
      <c r="F738" s="2" t="s">
        <v>11</v>
      </c>
      <c r="G738" s="1">
        <v>20</v>
      </c>
      <c r="H738" s="6">
        <v>50</v>
      </c>
      <c r="I738" s="1">
        <v>77</v>
      </c>
      <c r="J738" s="116" t="str">
        <f t="shared" si="11"/>
        <v>평일</v>
      </c>
    </row>
    <row r="739" spans="1:10" ht="21.75" hidden="1" customHeight="1" x14ac:dyDescent="0.25">
      <c r="A739" s="2">
        <v>2022</v>
      </c>
      <c r="B739" s="2">
        <v>10</v>
      </c>
      <c r="C739" s="2" t="s">
        <v>158</v>
      </c>
      <c r="D739" s="3">
        <v>44848</v>
      </c>
      <c r="E739" s="7">
        <v>192</v>
      </c>
      <c r="F739" s="2" t="s">
        <v>11</v>
      </c>
      <c r="G739" s="1">
        <v>37</v>
      </c>
      <c r="H739" s="6">
        <v>155</v>
      </c>
      <c r="I739" s="1">
        <v>78</v>
      </c>
      <c r="J739" s="116" t="str">
        <f t="shared" si="11"/>
        <v>평일</v>
      </c>
    </row>
    <row r="740" spans="1:10" ht="21.75" hidden="1" customHeight="1" x14ac:dyDescent="0.25">
      <c r="A740" s="2">
        <v>2022</v>
      </c>
      <c r="B740" s="2">
        <v>10</v>
      </c>
      <c r="C740" s="2" t="s">
        <v>159</v>
      </c>
      <c r="D740" s="3">
        <v>44849</v>
      </c>
      <c r="E740" s="7">
        <v>524</v>
      </c>
      <c r="F740" s="2" t="s">
        <v>11</v>
      </c>
      <c r="G740" s="1">
        <v>129</v>
      </c>
      <c r="H740" s="6">
        <v>395</v>
      </c>
      <c r="I740" s="1">
        <v>79</v>
      </c>
      <c r="J740" s="116" t="str">
        <f t="shared" si="11"/>
        <v>주말</v>
      </c>
    </row>
    <row r="741" spans="1:10" ht="21.75" hidden="1" customHeight="1" x14ac:dyDescent="0.25">
      <c r="A741" s="2">
        <v>2022</v>
      </c>
      <c r="B741" s="2">
        <v>10</v>
      </c>
      <c r="C741" s="2" t="s">
        <v>160</v>
      </c>
      <c r="D741" s="3">
        <v>44850</v>
      </c>
      <c r="E741" s="7">
        <v>445</v>
      </c>
      <c r="F741" s="2" t="s">
        <v>11</v>
      </c>
      <c r="G741" s="1">
        <v>101</v>
      </c>
      <c r="H741" s="6">
        <v>344</v>
      </c>
      <c r="I741" s="1">
        <v>80</v>
      </c>
      <c r="J741" s="116" t="str">
        <f t="shared" si="11"/>
        <v>주말</v>
      </c>
    </row>
    <row r="742" spans="1:10" ht="21.75" hidden="1" customHeight="1" x14ac:dyDescent="0.25">
      <c r="A742" s="2">
        <v>2022</v>
      </c>
      <c r="B742" s="2">
        <v>10</v>
      </c>
      <c r="C742" s="2" t="s">
        <v>161</v>
      </c>
      <c r="D742" s="3">
        <v>44851</v>
      </c>
      <c r="E742" s="7">
        <v>0</v>
      </c>
      <c r="F742" s="2" t="s">
        <v>11</v>
      </c>
      <c r="G742" s="1">
        <v>0</v>
      </c>
      <c r="H742" s="6">
        <v>0</v>
      </c>
      <c r="I742" s="1">
        <v>81</v>
      </c>
      <c r="J742" s="116" t="str">
        <f t="shared" si="11"/>
        <v>평일</v>
      </c>
    </row>
    <row r="743" spans="1:10" ht="21.75" hidden="1" customHeight="1" x14ac:dyDescent="0.25">
      <c r="A743" s="2">
        <v>2022</v>
      </c>
      <c r="B743" s="2">
        <v>10</v>
      </c>
      <c r="C743" s="2" t="s">
        <v>162</v>
      </c>
      <c r="D743" s="3">
        <v>44852</v>
      </c>
      <c r="E743" s="7">
        <v>194</v>
      </c>
      <c r="F743" s="2" t="s">
        <v>11</v>
      </c>
      <c r="G743" s="1">
        <v>34</v>
      </c>
      <c r="H743" s="6">
        <v>160</v>
      </c>
      <c r="I743" s="1">
        <v>82</v>
      </c>
      <c r="J743" s="116" t="str">
        <f t="shared" si="11"/>
        <v>평일</v>
      </c>
    </row>
    <row r="744" spans="1:10" ht="21.75" hidden="1" customHeight="1" x14ac:dyDescent="0.25">
      <c r="A744" s="2">
        <v>2022</v>
      </c>
      <c r="B744" s="2">
        <v>10</v>
      </c>
      <c r="C744" s="2" t="s">
        <v>163</v>
      </c>
      <c r="D744" s="3">
        <v>44853</v>
      </c>
      <c r="E744" s="7">
        <v>91</v>
      </c>
      <c r="F744" s="2" t="s">
        <v>11</v>
      </c>
      <c r="G744" s="1">
        <v>29</v>
      </c>
      <c r="H744" s="6">
        <v>62</v>
      </c>
      <c r="I744" s="1">
        <v>83</v>
      </c>
      <c r="J744" s="116" t="str">
        <f t="shared" si="11"/>
        <v>평일</v>
      </c>
    </row>
    <row r="745" spans="1:10" ht="21.75" hidden="1" customHeight="1" x14ac:dyDescent="0.25">
      <c r="A745" s="2">
        <v>2022</v>
      </c>
      <c r="B745" s="2">
        <v>10</v>
      </c>
      <c r="C745" s="2" t="s">
        <v>157</v>
      </c>
      <c r="D745" s="3">
        <v>44854</v>
      </c>
      <c r="E745" s="7">
        <v>110</v>
      </c>
      <c r="F745" s="2" t="s">
        <v>11</v>
      </c>
      <c r="G745" s="1">
        <v>35</v>
      </c>
      <c r="H745" s="6">
        <v>75</v>
      </c>
      <c r="I745" s="1">
        <v>84</v>
      </c>
      <c r="J745" s="116" t="str">
        <f t="shared" si="11"/>
        <v>평일</v>
      </c>
    </row>
    <row r="746" spans="1:10" ht="21.75" hidden="1" customHeight="1" x14ac:dyDescent="0.25">
      <c r="A746" s="2">
        <v>2022</v>
      </c>
      <c r="B746" s="2">
        <v>10</v>
      </c>
      <c r="C746" s="2" t="s">
        <v>158</v>
      </c>
      <c r="D746" s="3">
        <v>44855</v>
      </c>
      <c r="E746" s="7">
        <v>124</v>
      </c>
      <c r="F746" s="2" t="s">
        <v>11</v>
      </c>
      <c r="G746" s="1">
        <v>36</v>
      </c>
      <c r="H746" s="6">
        <v>88</v>
      </c>
      <c r="I746" s="1">
        <v>85</v>
      </c>
      <c r="J746" s="116" t="str">
        <f t="shared" si="11"/>
        <v>평일</v>
      </c>
    </row>
    <row r="747" spans="1:10" ht="21.75" hidden="1" customHeight="1" x14ac:dyDescent="0.25">
      <c r="A747" s="2">
        <v>2022</v>
      </c>
      <c r="B747" s="2">
        <v>10</v>
      </c>
      <c r="C747" s="2" t="s">
        <v>159</v>
      </c>
      <c r="D747" s="3">
        <v>44856</v>
      </c>
      <c r="E747" s="7">
        <v>394</v>
      </c>
      <c r="F747" s="2" t="s">
        <v>11</v>
      </c>
      <c r="G747" s="1">
        <v>114</v>
      </c>
      <c r="H747" s="6">
        <v>280</v>
      </c>
      <c r="I747" s="1">
        <v>86</v>
      </c>
      <c r="J747" s="116" t="str">
        <f t="shared" si="11"/>
        <v>주말</v>
      </c>
    </row>
    <row r="748" spans="1:10" ht="21.75" hidden="1" customHeight="1" x14ac:dyDescent="0.25">
      <c r="A748" s="2">
        <v>2022</v>
      </c>
      <c r="B748" s="2">
        <v>10</v>
      </c>
      <c r="C748" s="2" t="s">
        <v>160</v>
      </c>
      <c r="D748" s="3">
        <v>44857</v>
      </c>
      <c r="E748" s="7">
        <v>469</v>
      </c>
      <c r="F748" s="2" t="s">
        <v>11</v>
      </c>
      <c r="G748" s="1">
        <v>127</v>
      </c>
      <c r="H748" s="6">
        <v>342</v>
      </c>
      <c r="I748" s="1">
        <v>87</v>
      </c>
      <c r="J748" s="116" t="str">
        <f t="shared" si="11"/>
        <v>주말</v>
      </c>
    </row>
    <row r="749" spans="1:10" ht="21.75" hidden="1" customHeight="1" x14ac:dyDescent="0.25">
      <c r="A749" s="2">
        <v>2022</v>
      </c>
      <c r="B749" s="2">
        <v>10</v>
      </c>
      <c r="C749" s="2" t="s">
        <v>161</v>
      </c>
      <c r="D749" s="3">
        <v>44858</v>
      </c>
      <c r="E749" s="7">
        <v>110</v>
      </c>
      <c r="F749" s="2" t="s">
        <v>11</v>
      </c>
      <c r="G749" s="1">
        <v>26</v>
      </c>
      <c r="H749" s="6">
        <v>84</v>
      </c>
      <c r="I749" s="1">
        <v>88</v>
      </c>
      <c r="J749" s="116" t="str">
        <f t="shared" si="11"/>
        <v>평일</v>
      </c>
    </row>
    <row r="750" spans="1:10" ht="21.75" hidden="1" customHeight="1" x14ac:dyDescent="0.25">
      <c r="A750" s="2">
        <v>2022</v>
      </c>
      <c r="B750" s="2">
        <v>10</v>
      </c>
      <c r="C750" s="2" t="s">
        <v>162</v>
      </c>
      <c r="D750" s="3">
        <v>44859</v>
      </c>
      <c r="E750" s="7">
        <v>112</v>
      </c>
      <c r="F750" s="2" t="s">
        <v>11</v>
      </c>
      <c r="G750" s="1">
        <v>18</v>
      </c>
      <c r="H750" s="6">
        <v>94</v>
      </c>
      <c r="I750" s="1">
        <v>89</v>
      </c>
      <c r="J750" s="116" t="str">
        <f t="shared" si="11"/>
        <v>평일</v>
      </c>
    </row>
    <row r="751" spans="1:10" ht="21.75" hidden="1" customHeight="1" x14ac:dyDescent="0.25">
      <c r="A751" s="2">
        <v>2022</v>
      </c>
      <c r="B751" s="2">
        <v>10</v>
      </c>
      <c r="C751" s="2" t="s">
        <v>163</v>
      </c>
      <c r="D751" s="3">
        <v>44860</v>
      </c>
      <c r="E751" s="7">
        <v>192</v>
      </c>
      <c r="F751" s="2" t="s">
        <v>11</v>
      </c>
      <c r="G751" s="1">
        <v>41</v>
      </c>
      <c r="H751" s="6">
        <v>151</v>
      </c>
      <c r="I751" s="1">
        <v>90</v>
      </c>
      <c r="J751" s="116" t="str">
        <f t="shared" si="11"/>
        <v>평일</v>
      </c>
    </row>
    <row r="752" spans="1:10" ht="21.75" hidden="1" customHeight="1" x14ac:dyDescent="0.25">
      <c r="A752" s="2">
        <v>2022</v>
      </c>
      <c r="B752" s="2">
        <v>10</v>
      </c>
      <c r="C752" s="2" t="s">
        <v>157</v>
      </c>
      <c r="D752" s="3">
        <v>44861</v>
      </c>
      <c r="E752" s="7">
        <v>134</v>
      </c>
      <c r="F752" s="2" t="s">
        <v>11</v>
      </c>
      <c r="G752" s="1">
        <v>44</v>
      </c>
      <c r="H752" s="6">
        <v>90</v>
      </c>
      <c r="I752" s="1">
        <v>91</v>
      </c>
      <c r="J752" s="116" t="str">
        <f t="shared" si="11"/>
        <v>평일</v>
      </c>
    </row>
    <row r="753" spans="1:10" ht="21.75" hidden="1" customHeight="1" x14ac:dyDescent="0.25">
      <c r="A753" s="2">
        <v>2022</v>
      </c>
      <c r="B753" s="2">
        <v>10</v>
      </c>
      <c r="C753" s="2" t="s">
        <v>158</v>
      </c>
      <c r="D753" s="3">
        <v>44862</v>
      </c>
      <c r="E753" s="7">
        <v>277</v>
      </c>
      <c r="F753" s="2" t="s">
        <v>11</v>
      </c>
      <c r="G753" s="1">
        <v>50</v>
      </c>
      <c r="H753" s="6">
        <v>227</v>
      </c>
      <c r="I753" s="1">
        <v>92</v>
      </c>
      <c r="J753" s="116" t="str">
        <f t="shared" si="11"/>
        <v>평일</v>
      </c>
    </row>
    <row r="754" spans="1:10" ht="21.75" hidden="1" customHeight="1" x14ac:dyDescent="0.25">
      <c r="A754" s="2">
        <v>2022</v>
      </c>
      <c r="B754" s="2">
        <v>10</v>
      </c>
      <c r="C754" s="2" t="s">
        <v>159</v>
      </c>
      <c r="D754" s="3">
        <v>44863</v>
      </c>
      <c r="E754" s="7">
        <v>457</v>
      </c>
      <c r="F754" s="2" t="s">
        <v>11</v>
      </c>
      <c r="G754" s="1">
        <v>186</v>
      </c>
      <c r="H754" s="6">
        <v>271</v>
      </c>
      <c r="I754" s="1">
        <v>93</v>
      </c>
      <c r="J754" s="116" t="str">
        <f t="shared" si="11"/>
        <v>주말</v>
      </c>
    </row>
    <row r="755" spans="1:10" ht="21.75" hidden="1" customHeight="1" x14ac:dyDescent="0.25">
      <c r="A755" s="2">
        <v>2022</v>
      </c>
      <c r="B755" s="2">
        <v>10</v>
      </c>
      <c r="C755" s="2" t="s">
        <v>160</v>
      </c>
      <c r="D755" s="3">
        <v>44864</v>
      </c>
      <c r="E755" s="7">
        <v>402</v>
      </c>
      <c r="F755" s="2" t="s">
        <v>11</v>
      </c>
      <c r="G755" s="1">
        <v>188</v>
      </c>
      <c r="H755" s="6">
        <v>214</v>
      </c>
      <c r="I755" s="1">
        <v>94</v>
      </c>
      <c r="J755" s="116" t="str">
        <f t="shared" si="11"/>
        <v>주말</v>
      </c>
    </row>
    <row r="756" spans="1:10" ht="21.75" hidden="1" customHeight="1" x14ac:dyDescent="0.25">
      <c r="A756" s="2">
        <v>2022</v>
      </c>
      <c r="B756" s="2">
        <v>10</v>
      </c>
      <c r="C756" s="2" t="s">
        <v>161</v>
      </c>
      <c r="D756" s="3">
        <v>44865</v>
      </c>
      <c r="E756" s="7">
        <v>168</v>
      </c>
      <c r="F756" s="2" t="s">
        <v>11</v>
      </c>
      <c r="G756" s="1">
        <v>58</v>
      </c>
      <c r="H756" s="6">
        <v>110</v>
      </c>
      <c r="I756" s="1">
        <v>95</v>
      </c>
      <c r="J756" s="116" t="str">
        <f t="shared" si="11"/>
        <v>평일</v>
      </c>
    </row>
    <row r="757" spans="1:10" ht="21.75" hidden="1" customHeight="1" x14ac:dyDescent="0.25">
      <c r="A757" s="2">
        <v>2022</v>
      </c>
      <c r="B757" s="2">
        <v>11</v>
      </c>
      <c r="C757" s="2" t="s">
        <v>162</v>
      </c>
      <c r="D757" s="3">
        <v>44866</v>
      </c>
      <c r="E757" s="7">
        <v>164</v>
      </c>
      <c r="F757" s="2" t="s">
        <v>11</v>
      </c>
      <c r="G757" s="1">
        <v>56</v>
      </c>
      <c r="H757" s="6">
        <v>108</v>
      </c>
      <c r="I757" s="1">
        <v>96</v>
      </c>
      <c r="J757" s="116" t="str">
        <f t="shared" si="11"/>
        <v>평일</v>
      </c>
    </row>
    <row r="758" spans="1:10" ht="21.75" hidden="1" customHeight="1" x14ac:dyDescent="0.25">
      <c r="A758" s="2">
        <v>2022</v>
      </c>
      <c r="B758" s="2">
        <v>11</v>
      </c>
      <c r="C758" s="2" t="s">
        <v>163</v>
      </c>
      <c r="D758" s="3">
        <v>44867</v>
      </c>
      <c r="E758" s="7">
        <v>241</v>
      </c>
      <c r="F758" s="2" t="s">
        <v>11</v>
      </c>
      <c r="G758" s="1">
        <v>101</v>
      </c>
      <c r="H758" s="6">
        <v>140</v>
      </c>
      <c r="I758" s="1">
        <v>97</v>
      </c>
      <c r="J758" s="116" t="str">
        <f t="shared" si="11"/>
        <v>평일</v>
      </c>
    </row>
    <row r="759" spans="1:10" ht="21.75" hidden="1" customHeight="1" x14ac:dyDescent="0.25">
      <c r="A759" s="2">
        <v>2022</v>
      </c>
      <c r="B759" s="2">
        <v>11</v>
      </c>
      <c r="C759" s="2" t="s">
        <v>157</v>
      </c>
      <c r="D759" s="3">
        <v>44868</v>
      </c>
      <c r="E759" s="7">
        <v>212</v>
      </c>
      <c r="F759" s="2" t="s">
        <v>11</v>
      </c>
      <c r="G759" s="1">
        <v>97</v>
      </c>
      <c r="H759" s="6">
        <v>115</v>
      </c>
      <c r="I759" s="1">
        <v>98</v>
      </c>
      <c r="J759" s="116" t="str">
        <f t="shared" si="11"/>
        <v>평일</v>
      </c>
    </row>
    <row r="760" spans="1:10" ht="21.75" hidden="1" customHeight="1" x14ac:dyDescent="0.25">
      <c r="A760" s="2">
        <v>2022</v>
      </c>
      <c r="B760" s="2">
        <v>11</v>
      </c>
      <c r="C760" s="2" t="s">
        <v>158</v>
      </c>
      <c r="D760" s="3">
        <v>44869</v>
      </c>
      <c r="E760" s="7">
        <v>278</v>
      </c>
      <c r="F760" s="2" t="s">
        <v>11</v>
      </c>
      <c r="G760" s="1">
        <v>126</v>
      </c>
      <c r="H760" s="6">
        <v>152</v>
      </c>
      <c r="I760" s="1">
        <v>99</v>
      </c>
      <c r="J760" s="116" t="str">
        <f t="shared" si="11"/>
        <v>평일</v>
      </c>
    </row>
    <row r="761" spans="1:10" ht="21.75" hidden="1" customHeight="1" x14ac:dyDescent="0.25">
      <c r="A761" s="2">
        <v>2022</v>
      </c>
      <c r="B761" s="2">
        <v>11</v>
      </c>
      <c r="C761" s="2" t="s">
        <v>159</v>
      </c>
      <c r="D761" s="3">
        <v>44870</v>
      </c>
      <c r="E761" s="7">
        <v>799</v>
      </c>
      <c r="F761" s="2" t="s">
        <v>11</v>
      </c>
      <c r="G761" s="1">
        <v>419</v>
      </c>
      <c r="H761" s="6">
        <v>380</v>
      </c>
      <c r="I761" s="1">
        <v>100</v>
      </c>
      <c r="J761" s="116" t="str">
        <f t="shared" si="11"/>
        <v>주말</v>
      </c>
    </row>
    <row r="762" spans="1:10" ht="21.75" hidden="1" customHeight="1" x14ac:dyDescent="0.25">
      <c r="A762" s="2">
        <v>2022</v>
      </c>
      <c r="B762" s="2">
        <v>11</v>
      </c>
      <c r="C762" s="2" t="s">
        <v>160</v>
      </c>
      <c r="D762" s="3">
        <v>44871</v>
      </c>
      <c r="E762" s="7">
        <v>816</v>
      </c>
      <c r="F762" s="2" t="s">
        <v>11</v>
      </c>
      <c r="G762" s="1">
        <v>461</v>
      </c>
      <c r="H762" s="6">
        <v>355</v>
      </c>
      <c r="I762" s="1">
        <v>101</v>
      </c>
      <c r="J762" s="116" t="str">
        <f t="shared" si="11"/>
        <v>주말</v>
      </c>
    </row>
    <row r="763" spans="1:10" ht="21.75" hidden="1" customHeight="1" x14ac:dyDescent="0.25">
      <c r="A763" s="2">
        <v>2022</v>
      </c>
      <c r="B763" s="2">
        <v>11</v>
      </c>
      <c r="C763" s="2" t="s">
        <v>161</v>
      </c>
      <c r="D763" s="3">
        <v>44872</v>
      </c>
      <c r="E763" s="7">
        <v>0</v>
      </c>
      <c r="F763" s="2">
        <v>0</v>
      </c>
      <c r="G763" s="1"/>
      <c r="H763" s="1"/>
      <c r="I763" s="1">
        <v>182</v>
      </c>
      <c r="J763" s="116" t="str">
        <f t="shared" si="11"/>
        <v>평일</v>
      </c>
    </row>
    <row r="764" spans="1:10" ht="21.75" hidden="1" customHeight="1" x14ac:dyDescent="0.25">
      <c r="A764" s="2">
        <v>2022</v>
      </c>
      <c r="B764" s="2">
        <v>11</v>
      </c>
      <c r="C764" s="2" t="s">
        <v>162</v>
      </c>
      <c r="D764" s="3">
        <v>44873</v>
      </c>
      <c r="E764" s="7">
        <v>0</v>
      </c>
      <c r="F764" s="2">
        <v>0</v>
      </c>
      <c r="G764" s="1"/>
      <c r="H764" s="1"/>
      <c r="I764" s="1">
        <v>183</v>
      </c>
      <c r="J764" s="116" t="str">
        <f t="shared" si="11"/>
        <v>평일</v>
      </c>
    </row>
    <row r="765" spans="1:10" ht="21.75" hidden="1" customHeight="1" x14ac:dyDescent="0.25">
      <c r="A765" s="2">
        <v>2022</v>
      </c>
      <c r="B765" s="2">
        <v>11</v>
      </c>
      <c r="C765" s="2" t="s">
        <v>163</v>
      </c>
      <c r="D765" s="3">
        <v>44874</v>
      </c>
      <c r="E765" s="7">
        <v>0</v>
      </c>
      <c r="F765" s="2">
        <v>0</v>
      </c>
      <c r="G765" s="1"/>
      <c r="H765" s="1"/>
      <c r="I765" s="1">
        <v>184</v>
      </c>
      <c r="J765" s="116" t="str">
        <f t="shared" si="11"/>
        <v>평일</v>
      </c>
    </row>
    <row r="766" spans="1:10" ht="21.75" hidden="1" customHeight="1" x14ac:dyDescent="0.25">
      <c r="A766" s="2">
        <v>2022</v>
      </c>
      <c r="B766" s="2">
        <v>11</v>
      </c>
      <c r="C766" s="2" t="s">
        <v>157</v>
      </c>
      <c r="D766" s="3">
        <v>44875</v>
      </c>
      <c r="E766" s="7">
        <v>0</v>
      </c>
      <c r="F766" s="2">
        <v>0</v>
      </c>
      <c r="G766" s="1"/>
      <c r="H766" s="1"/>
      <c r="I766" s="1">
        <v>185</v>
      </c>
      <c r="J766" s="116" t="str">
        <f t="shared" si="11"/>
        <v>평일</v>
      </c>
    </row>
    <row r="767" spans="1:10" ht="21.75" hidden="1" customHeight="1" x14ac:dyDescent="0.25">
      <c r="A767" s="2">
        <v>2022</v>
      </c>
      <c r="B767" s="2">
        <v>11</v>
      </c>
      <c r="C767" s="2" t="s">
        <v>158</v>
      </c>
      <c r="D767" s="3">
        <v>44876</v>
      </c>
      <c r="E767" s="7">
        <v>0</v>
      </c>
      <c r="F767" s="2">
        <v>0</v>
      </c>
      <c r="G767" s="1"/>
      <c r="H767" s="1"/>
      <c r="I767" s="1">
        <v>186</v>
      </c>
      <c r="J767" s="116" t="str">
        <f t="shared" si="11"/>
        <v>평일</v>
      </c>
    </row>
    <row r="768" spans="1:10" ht="21.75" hidden="1" customHeight="1" x14ac:dyDescent="0.25">
      <c r="A768" s="2">
        <v>2022</v>
      </c>
      <c r="B768" s="2">
        <v>11</v>
      </c>
      <c r="C768" s="2" t="s">
        <v>159</v>
      </c>
      <c r="D768" s="3">
        <v>44877</v>
      </c>
      <c r="E768" s="7">
        <v>0</v>
      </c>
      <c r="F768" s="2">
        <v>0</v>
      </c>
      <c r="G768" s="1"/>
      <c r="H768" s="1"/>
      <c r="I768" s="1">
        <v>187</v>
      </c>
      <c r="J768" s="116" t="str">
        <f t="shared" si="11"/>
        <v>주말</v>
      </c>
    </row>
    <row r="769" spans="1:10" ht="21.75" hidden="1" customHeight="1" x14ac:dyDescent="0.25">
      <c r="A769" s="2">
        <v>2022</v>
      </c>
      <c r="B769" s="2">
        <v>11</v>
      </c>
      <c r="C769" s="2" t="s">
        <v>160</v>
      </c>
      <c r="D769" s="3">
        <v>44878</v>
      </c>
      <c r="E769" s="7">
        <v>0</v>
      </c>
      <c r="F769" s="2">
        <v>0</v>
      </c>
      <c r="G769" s="1"/>
      <c r="H769" s="1"/>
      <c r="I769" s="1">
        <v>188</v>
      </c>
      <c r="J769" s="116" t="str">
        <f t="shared" si="11"/>
        <v>주말</v>
      </c>
    </row>
    <row r="770" spans="1:10" ht="21.75" hidden="1" customHeight="1" x14ac:dyDescent="0.25">
      <c r="A770" s="2">
        <v>2022</v>
      </c>
      <c r="B770" s="2">
        <v>11</v>
      </c>
      <c r="C770" s="2" t="s">
        <v>161</v>
      </c>
      <c r="D770" s="3">
        <v>44879</v>
      </c>
      <c r="E770" s="7">
        <v>0</v>
      </c>
      <c r="F770" s="2">
        <v>0</v>
      </c>
      <c r="G770" s="1"/>
      <c r="H770" s="1"/>
      <c r="I770" s="1">
        <v>189</v>
      </c>
      <c r="J770" s="116" t="str">
        <f t="shared" si="11"/>
        <v>평일</v>
      </c>
    </row>
    <row r="771" spans="1:10" ht="21.75" hidden="1" customHeight="1" x14ac:dyDescent="0.25">
      <c r="A771" s="2">
        <v>2022</v>
      </c>
      <c r="B771" s="2">
        <v>11</v>
      </c>
      <c r="C771" s="2" t="s">
        <v>162</v>
      </c>
      <c r="D771" s="3">
        <v>44880</v>
      </c>
      <c r="E771" s="7">
        <v>0</v>
      </c>
      <c r="F771" s="2">
        <v>0</v>
      </c>
      <c r="G771" s="1"/>
      <c r="H771" s="1"/>
      <c r="I771" s="1">
        <v>190</v>
      </c>
      <c r="J771" s="116" t="str">
        <f t="shared" ref="J771:J834" si="12">+IF(OR(C771="토",C771="일"),"주말","평일")</f>
        <v>평일</v>
      </c>
    </row>
    <row r="772" spans="1:10" ht="21.75" hidden="1" customHeight="1" x14ac:dyDescent="0.25">
      <c r="A772" s="2">
        <v>2022</v>
      </c>
      <c r="B772" s="2">
        <v>11</v>
      </c>
      <c r="C772" s="2" t="s">
        <v>163</v>
      </c>
      <c r="D772" s="3">
        <v>44881</v>
      </c>
      <c r="E772" s="7">
        <v>0</v>
      </c>
      <c r="F772" s="2">
        <v>0</v>
      </c>
      <c r="G772" s="1"/>
      <c r="H772" s="1"/>
      <c r="I772" s="1">
        <v>191</v>
      </c>
      <c r="J772" s="116" t="str">
        <f t="shared" si="12"/>
        <v>평일</v>
      </c>
    </row>
    <row r="773" spans="1:10" ht="21.75" hidden="1" customHeight="1" x14ac:dyDescent="0.25">
      <c r="A773" s="2">
        <v>2022</v>
      </c>
      <c r="B773" s="2">
        <v>11</v>
      </c>
      <c r="C773" s="2" t="s">
        <v>157</v>
      </c>
      <c r="D773" s="3">
        <v>44882</v>
      </c>
      <c r="E773" s="7">
        <v>0</v>
      </c>
      <c r="F773" s="2">
        <v>0</v>
      </c>
      <c r="G773" s="1"/>
      <c r="H773" s="1"/>
      <c r="I773" s="1">
        <v>192</v>
      </c>
      <c r="J773" s="116" t="str">
        <f t="shared" si="12"/>
        <v>평일</v>
      </c>
    </row>
    <row r="774" spans="1:10" ht="21.75" hidden="1" customHeight="1" x14ac:dyDescent="0.25">
      <c r="A774" s="2">
        <v>2022</v>
      </c>
      <c r="B774" s="2">
        <v>11</v>
      </c>
      <c r="C774" s="2" t="s">
        <v>158</v>
      </c>
      <c r="D774" s="3">
        <v>44883</v>
      </c>
      <c r="E774" s="7">
        <v>0</v>
      </c>
      <c r="F774" s="2">
        <v>0</v>
      </c>
      <c r="G774" s="1"/>
      <c r="H774" s="1"/>
      <c r="I774" s="1">
        <v>193</v>
      </c>
      <c r="J774" s="116" t="str">
        <f t="shared" si="12"/>
        <v>평일</v>
      </c>
    </row>
    <row r="775" spans="1:10" ht="21.75" hidden="1" customHeight="1" x14ac:dyDescent="0.25">
      <c r="A775" s="2">
        <v>2022</v>
      </c>
      <c r="B775" s="2">
        <v>11</v>
      </c>
      <c r="C775" s="2" t="s">
        <v>159</v>
      </c>
      <c r="D775" s="3">
        <v>44884</v>
      </c>
      <c r="E775" s="7">
        <v>0</v>
      </c>
      <c r="F775" s="2">
        <v>0</v>
      </c>
      <c r="G775" s="1"/>
      <c r="H775" s="1"/>
      <c r="I775" s="1">
        <v>194</v>
      </c>
      <c r="J775" s="116" t="str">
        <f t="shared" si="12"/>
        <v>주말</v>
      </c>
    </row>
    <row r="776" spans="1:10" ht="21.75" hidden="1" customHeight="1" x14ac:dyDescent="0.25">
      <c r="A776" s="2">
        <v>2022</v>
      </c>
      <c r="B776" s="2">
        <v>11</v>
      </c>
      <c r="C776" s="2" t="s">
        <v>160</v>
      </c>
      <c r="D776" s="3">
        <v>44885</v>
      </c>
      <c r="E776" s="7">
        <v>0</v>
      </c>
      <c r="F776" s="2">
        <v>0</v>
      </c>
      <c r="G776" s="1"/>
      <c r="H776" s="1"/>
      <c r="I776" s="1">
        <v>195</v>
      </c>
      <c r="J776" s="116" t="str">
        <f t="shared" si="12"/>
        <v>주말</v>
      </c>
    </row>
    <row r="777" spans="1:10" ht="21.75" hidden="1" customHeight="1" x14ac:dyDescent="0.25">
      <c r="A777" s="2">
        <v>2022</v>
      </c>
      <c r="B777" s="2">
        <v>11</v>
      </c>
      <c r="C777" s="2" t="s">
        <v>161</v>
      </c>
      <c r="D777" s="3">
        <v>44886</v>
      </c>
      <c r="E777" s="7">
        <v>0</v>
      </c>
      <c r="F777" s="2">
        <v>0</v>
      </c>
      <c r="G777" s="1"/>
      <c r="H777" s="1"/>
      <c r="I777" s="1">
        <v>196</v>
      </c>
      <c r="J777" s="116" t="str">
        <f t="shared" si="12"/>
        <v>평일</v>
      </c>
    </row>
    <row r="778" spans="1:10" ht="21.75" hidden="1" customHeight="1" x14ac:dyDescent="0.25">
      <c r="A778" s="2">
        <v>2022</v>
      </c>
      <c r="B778" s="2">
        <v>11</v>
      </c>
      <c r="C778" s="2" t="s">
        <v>162</v>
      </c>
      <c r="D778" s="3">
        <v>44887</v>
      </c>
      <c r="E778" s="7">
        <v>0</v>
      </c>
      <c r="F778" s="2">
        <v>0</v>
      </c>
      <c r="G778" s="1"/>
      <c r="H778" s="1"/>
      <c r="I778" s="1">
        <v>197</v>
      </c>
      <c r="J778" s="116" t="str">
        <f t="shared" si="12"/>
        <v>평일</v>
      </c>
    </row>
    <row r="779" spans="1:10" ht="21.75" hidden="1" customHeight="1" x14ac:dyDescent="0.25">
      <c r="A779" s="2">
        <v>2022</v>
      </c>
      <c r="B779" s="2">
        <v>11</v>
      </c>
      <c r="C779" s="2" t="s">
        <v>163</v>
      </c>
      <c r="D779" s="3">
        <v>44888</v>
      </c>
      <c r="E779" s="7">
        <v>0</v>
      </c>
      <c r="F779" s="2">
        <v>0</v>
      </c>
      <c r="G779" s="1"/>
      <c r="H779" s="1"/>
      <c r="I779" s="1">
        <v>198</v>
      </c>
      <c r="J779" s="116" t="str">
        <f t="shared" si="12"/>
        <v>평일</v>
      </c>
    </row>
    <row r="780" spans="1:10" ht="21.75" hidden="1" customHeight="1" x14ac:dyDescent="0.25">
      <c r="A780" s="2">
        <v>2022</v>
      </c>
      <c r="B780" s="2">
        <v>11</v>
      </c>
      <c r="C780" s="2" t="s">
        <v>157</v>
      </c>
      <c r="D780" s="3">
        <v>44889</v>
      </c>
      <c r="E780" s="7">
        <v>0</v>
      </c>
      <c r="F780" s="2">
        <v>0</v>
      </c>
      <c r="G780" s="1"/>
      <c r="H780" s="1"/>
      <c r="I780" s="1">
        <v>199</v>
      </c>
      <c r="J780" s="116" t="str">
        <f t="shared" si="12"/>
        <v>평일</v>
      </c>
    </row>
    <row r="781" spans="1:10" ht="21.75" hidden="1" customHeight="1" x14ac:dyDescent="0.25">
      <c r="A781" s="2">
        <v>2022</v>
      </c>
      <c r="B781" s="2">
        <v>11</v>
      </c>
      <c r="C781" s="2" t="s">
        <v>158</v>
      </c>
      <c r="D781" s="3">
        <v>44890</v>
      </c>
      <c r="E781" s="7">
        <v>0</v>
      </c>
      <c r="F781" s="2">
        <v>0</v>
      </c>
      <c r="G781" s="1"/>
      <c r="H781" s="1"/>
      <c r="I781" s="1">
        <v>200</v>
      </c>
      <c r="J781" s="116" t="str">
        <f t="shared" si="12"/>
        <v>평일</v>
      </c>
    </row>
    <row r="782" spans="1:10" ht="21.75" hidden="1" customHeight="1" x14ac:dyDescent="0.25">
      <c r="A782" s="2">
        <v>2022</v>
      </c>
      <c r="B782" s="2">
        <v>11</v>
      </c>
      <c r="C782" s="2" t="s">
        <v>159</v>
      </c>
      <c r="D782" s="3">
        <v>44891</v>
      </c>
      <c r="E782" s="7">
        <v>0</v>
      </c>
      <c r="F782" s="2">
        <v>0</v>
      </c>
      <c r="G782" s="1"/>
      <c r="H782" s="1"/>
      <c r="I782" s="1">
        <v>201</v>
      </c>
      <c r="J782" s="116" t="str">
        <f t="shared" si="12"/>
        <v>주말</v>
      </c>
    </row>
    <row r="783" spans="1:10" ht="21.75" hidden="1" customHeight="1" x14ac:dyDescent="0.25">
      <c r="A783" s="2">
        <v>2022</v>
      </c>
      <c r="B783" s="2">
        <v>11</v>
      </c>
      <c r="C783" s="2" t="s">
        <v>160</v>
      </c>
      <c r="D783" s="3">
        <v>44892</v>
      </c>
      <c r="E783" s="7">
        <v>0</v>
      </c>
      <c r="F783" s="2">
        <v>0</v>
      </c>
      <c r="G783" s="1"/>
      <c r="H783" s="1"/>
      <c r="I783" s="1">
        <v>202</v>
      </c>
      <c r="J783" s="116" t="str">
        <f t="shared" si="12"/>
        <v>주말</v>
      </c>
    </row>
    <row r="784" spans="1:10" ht="21.75" hidden="1" customHeight="1" x14ac:dyDescent="0.25">
      <c r="A784" s="2">
        <v>2022</v>
      </c>
      <c r="B784" s="2">
        <v>11</v>
      </c>
      <c r="C784" s="2" t="s">
        <v>161</v>
      </c>
      <c r="D784" s="3">
        <v>44893</v>
      </c>
      <c r="E784" s="7">
        <v>0</v>
      </c>
      <c r="F784" s="2">
        <v>0</v>
      </c>
      <c r="G784" s="1"/>
      <c r="H784" s="1"/>
      <c r="I784" s="1">
        <v>203</v>
      </c>
      <c r="J784" s="116" t="str">
        <f t="shared" si="12"/>
        <v>평일</v>
      </c>
    </row>
    <row r="785" spans="1:10" ht="21.75" hidden="1" customHeight="1" x14ac:dyDescent="0.25">
      <c r="A785" s="2">
        <v>2022</v>
      </c>
      <c r="B785" s="2">
        <v>11</v>
      </c>
      <c r="C785" s="2" t="s">
        <v>162</v>
      </c>
      <c r="D785" s="3">
        <v>44894</v>
      </c>
      <c r="E785" s="7">
        <v>0</v>
      </c>
      <c r="F785" s="2">
        <v>0</v>
      </c>
      <c r="G785" s="1"/>
      <c r="H785" s="1"/>
      <c r="I785" s="1">
        <v>204</v>
      </c>
      <c r="J785" s="116" t="str">
        <f t="shared" si="12"/>
        <v>평일</v>
      </c>
    </row>
    <row r="786" spans="1:10" ht="21.75" hidden="1" customHeight="1" x14ac:dyDescent="0.25">
      <c r="A786" s="2">
        <v>2022</v>
      </c>
      <c r="B786" s="2">
        <v>11</v>
      </c>
      <c r="C786" s="2" t="s">
        <v>163</v>
      </c>
      <c r="D786" s="3">
        <v>44895</v>
      </c>
      <c r="E786" s="7">
        <v>0</v>
      </c>
      <c r="F786" s="2">
        <v>0</v>
      </c>
      <c r="G786" s="1"/>
      <c r="H786" s="1"/>
      <c r="I786" s="1">
        <v>205</v>
      </c>
      <c r="J786" s="116" t="str">
        <f t="shared" si="12"/>
        <v>평일</v>
      </c>
    </row>
    <row r="787" spans="1:10" ht="21.75" hidden="1" customHeight="1" x14ac:dyDescent="0.25">
      <c r="A787" s="2">
        <v>2022</v>
      </c>
      <c r="B787" s="2">
        <v>12</v>
      </c>
      <c r="C787" s="2" t="s">
        <v>157</v>
      </c>
      <c r="D787" s="3">
        <v>44896</v>
      </c>
      <c r="E787" s="7">
        <v>0</v>
      </c>
      <c r="F787" s="2">
        <v>0</v>
      </c>
      <c r="G787" s="1"/>
      <c r="H787" s="1"/>
      <c r="I787" s="1">
        <v>206</v>
      </c>
      <c r="J787" s="116" t="str">
        <f t="shared" si="12"/>
        <v>평일</v>
      </c>
    </row>
    <row r="788" spans="1:10" ht="21.75" hidden="1" customHeight="1" x14ac:dyDescent="0.25">
      <c r="A788" s="2">
        <v>2022</v>
      </c>
      <c r="B788" s="2">
        <v>12</v>
      </c>
      <c r="C788" s="2" t="s">
        <v>158</v>
      </c>
      <c r="D788" s="3">
        <v>44897</v>
      </c>
      <c r="E788" s="7">
        <v>0</v>
      </c>
      <c r="F788" s="2">
        <v>0</v>
      </c>
      <c r="G788" s="1"/>
      <c r="H788" s="1"/>
      <c r="I788" s="1">
        <v>207</v>
      </c>
      <c r="J788" s="116" t="str">
        <f t="shared" si="12"/>
        <v>평일</v>
      </c>
    </row>
    <row r="789" spans="1:10" ht="21.75" hidden="1" customHeight="1" x14ac:dyDescent="0.25">
      <c r="A789" s="2">
        <v>2022</v>
      </c>
      <c r="B789" s="2">
        <v>12</v>
      </c>
      <c r="C789" s="2" t="s">
        <v>159</v>
      </c>
      <c r="D789" s="3">
        <v>44898</v>
      </c>
      <c r="E789" s="7">
        <v>0</v>
      </c>
      <c r="F789" s="2">
        <v>0</v>
      </c>
      <c r="G789" s="1"/>
      <c r="H789" s="1"/>
      <c r="I789" s="1">
        <v>208</v>
      </c>
      <c r="J789" s="116" t="str">
        <f t="shared" si="12"/>
        <v>주말</v>
      </c>
    </row>
    <row r="790" spans="1:10" ht="21.75" hidden="1" customHeight="1" x14ac:dyDescent="0.25">
      <c r="A790" s="2">
        <v>2022</v>
      </c>
      <c r="B790" s="2">
        <v>12</v>
      </c>
      <c r="C790" s="2" t="s">
        <v>160</v>
      </c>
      <c r="D790" s="3">
        <v>44899</v>
      </c>
      <c r="E790" s="7">
        <v>0</v>
      </c>
      <c r="F790" s="2">
        <v>0</v>
      </c>
      <c r="G790" s="1"/>
      <c r="H790" s="1"/>
      <c r="I790" s="1">
        <v>209</v>
      </c>
      <c r="J790" s="116" t="str">
        <f t="shared" si="12"/>
        <v>주말</v>
      </c>
    </row>
    <row r="791" spans="1:10" ht="21.75" hidden="1" customHeight="1" x14ac:dyDescent="0.25">
      <c r="A791" s="2">
        <v>2022</v>
      </c>
      <c r="B791" s="2">
        <v>12</v>
      </c>
      <c r="C791" s="2" t="s">
        <v>161</v>
      </c>
      <c r="D791" s="3">
        <v>44900</v>
      </c>
      <c r="E791" s="7">
        <v>0</v>
      </c>
      <c r="F791" s="2">
        <v>0</v>
      </c>
      <c r="G791" s="1"/>
      <c r="H791" s="1"/>
      <c r="I791" s="1">
        <v>210</v>
      </c>
      <c r="J791" s="116" t="str">
        <f t="shared" si="12"/>
        <v>평일</v>
      </c>
    </row>
    <row r="792" spans="1:10" ht="21.75" hidden="1" customHeight="1" x14ac:dyDescent="0.25">
      <c r="A792" s="2">
        <v>2022</v>
      </c>
      <c r="B792" s="2">
        <v>12</v>
      </c>
      <c r="C792" s="2" t="s">
        <v>162</v>
      </c>
      <c r="D792" s="3">
        <v>44901</v>
      </c>
      <c r="E792" s="7">
        <v>0</v>
      </c>
      <c r="F792" s="2">
        <v>0</v>
      </c>
      <c r="G792" s="1"/>
      <c r="H792" s="1"/>
      <c r="I792" s="1">
        <v>211</v>
      </c>
      <c r="J792" s="116" t="str">
        <f t="shared" si="12"/>
        <v>평일</v>
      </c>
    </row>
    <row r="793" spans="1:10" ht="21.75" hidden="1" customHeight="1" x14ac:dyDescent="0.25">
      <c r="A793" s="2">
        <v>2022</v>
      </c>
      <c r="B793" s="2">
        <v>12</v>
      </c>
      <c r="C793" s="2" t="s">
        <v>163</v>
      </c>
      <c r="D793" s="3">
        <v>44902</v>
      </c>
      <c r="E793" s="7">
        <v>0</v>
      </c>
      <c r="F793" s="2">
        <v>0</v>
      </c>
      <c r="G793" s="1"/>
      <c r="H793" s="1"/>
      <c r="I793" s="1">
        <v>212</v>
      </c>
      <c r="J793" s="116" t="str">
        <f t="shared" si="12"/>
        <v>평일</v>
      </c>
    </row>
    <row r="794" spans="1:10" ht="21.75" hidden="1" customHeight="1" x14ac:dyDescent="0.25">
      <c r="A794" s="2">
        <v>2022</v>
      </c>
      <c r="B794" s="2">
        <v>12</v>
      </c>
      <c r="C794" s="2" t="s">
        <v>157</v>
      </c>
      <c r="D794" s="3">
        <v>44903</v>
      </c>
      <c r="E794" s="7">
        <v>0</v>
      </c>
      <c r="F794" s="2">
        <v>0</v>
      </c>
      <c r="G794" s="1"/>
      <c r="H794" s="1"/>
      <c r="I794" s="1">
        <v>213</v>
      </c>
      <c r="J794" s="116" t="str">
        <f t="shared" si="12"/>
        <v>평일</v>
      </c>
    </row>
    <row r="795" spans="1:10" ht="21.75" hidden="1" customHeight="1" x14ac:dyDescent="0.25">
      <c r="A795" s="2">
        <v>2022</v>
      </c>
      <c r="B795" s="2">
        <v>12</v>
      </c>
      <c r="C795" s="2" t="s">
        <v>158</v>
      </c>
      <c r="D795" s="3">
        <v>44904</v>
      </c>
      <c r="E795" s="7">
        <v>0</v>
      </c>
      <c r="F795" s="2">
        <v>0</v>
      </c>
      <c r="G795" s="1"/>
      <c r="H795" s="1"/>
      <c r="I795" s="1">
        <v>214</v>
      </c>
      <c r="J795" s="116" t="str">
        <f t="shared" si="12"/>
        <v>평일</v>
      </c>
    </row>
    <row r="796" spans="1:10" ht="21.75" hidden="1" customHeight="1" x14ac:dyDescent="0.25">
      <c r="A796" s="2">
        <v>2022</v>
      </c>
      <c r="B796" s="2">
        <v>12</v>
      </c>
      <c r="C796" s="2" t="s">
        <v>159</v>
      </c>
      <c r="D796" s="3">
        <v>44905</v>
      </c>
      <c r="E796" s="7">
        <v>0</v>
      </c>
      <c r="F796" s="2">
        <v>0</v>
      </c>
      <c r="G796" s="1"/>
      <c r="H796" s="1"/>
      <c r="I796" s="1">
        <v>215</v>
      </c>
      <c r="J796" s="116" t="str">
        <f t="shared" si="12"/>
        <v>주말</v>
      </c>
    </row>
    <row r="797" spans="1:10" ht="21.75" hidden="1" customHeight="1" x14ac:dyDescent="0.25">
      <c r="A797" s="2">
        <v>2022</v>
      </c>
      <c r="B797" s="2">
        <v>12</v>
      </c>
      <c r="C797" s="2" t="s">
        <v>160</v>
      </c>
      <c r="D797" s="3">
        <v>44906</v>
      </c>
      <c r="E797" s="7">
        <v>0</v>
      </c>
      <c r="F797" s="2">
        <v>0</v>
      </c>
      <c r="G797" s="1"/>
      <c r="H797" s="1"/>
      <c r="I797" s="1">
        <v>216</v>
      </c>
      <c r="J797" s="116" t="str">
        <f t="shared" si="12"/>
        <v>주말</v>
      </c>
    </row>
    <row r="798" spans="1:10" ht="21.75" hidden="1" customHeight="1" x14ac:dyDescent="0.25">
      <c r="A798" s="2">
        <v>2022</v>
      </c>
      <c r="B798" s="2">
        <v>12</v>
      </c>
      <c r="C798" s="2" t="s">
        <v>161</v>
      </c>
      <c r="D798" s="3">
        <v>44907</v>
      </c>
      <c r="E798" s="7">
        <v>0</v>
      </c>
      <c r="F798" s="2">
        <v>0</v>
      </c>
      <c r="G798" s="1"/>
      <c r="H798" s="1"/>
      <c r="I798" s="1">
        <v>217</v>
      </c>
      <c r="J798" s="116" t="str">
        <f t="shared" si="12"/>
        <v>평일</v>
      </c>
    </row>
    <row r="799" spans="1:10" ht="21.75" hidden="1" customHeight="1" x14ac:dyDescent="0.25">
      <c r="A799" s="2">
        <v>2022</v>
      </c>
      <c r="B799" s="2">
        <v>12</v>
      </c>
      <c r="C799" s="2" t="s">
        <v>162</v>
      </c>
      <c r="D799" s="3">
        <v>44908</v>
      </c>
      <c r="E799" s="7">
        <v>0</v>
      </c>
      <c r="F799" s="2">
        <v>0</v>
      </c>
      <c r="G799" s="1"/>
      <c r="H799" s="1"/>
      <c r="I799" s="1">
        <v>218</v>
      </c>
      <c r="J799" s="116" t="str">
        <f t="shared" si="12"/>
        <v>평일</v>
      </c>
    </row>
    <row r="800" spans="1:10" ht="21.75" hidden="1" customHeight="1" x14ac:dyDescent="0.25">
      <c r="A800" s="2">
        <v>2022</v>
      </c>
      <c r="B800" s="2">
        <v>12</v>
      </c>
      <c r="C800" s="2" t="s">
        <v>163</v>
      </c>
      <c r="D800" s="3">
        <v>44909</v>
      </c>
      <c r="E800" s="7">
        <v>0</v>
      </c>
      <c r="F800" s="2">
        <v>0</v>
      </c>
      <c r="G800" s="1"/>
      <c r="H800" s="1"/>
      <c r="I800" s="1">
        <v>219</v>
      </c>
      <c r="J800" s="116" t="str">
        <f t="shared" si="12"/>
        <v>평일</v>
      </c>
    </row>
    <row r="801" spans="1:10" ht="21.75" hidden="1" customHeight="1" x14ac:dyDescent="0.25">
      <c r="A801" s="2">
        <v>2022</v>
      </c>
      <c r="B801" s="2">
        <v>12</v>
      </c>
      <c r="C801" s="2" t="s">
        <v>157</v>
      </c>
      <c r="D801" s="3">
        <v>44910</v>
      </c>
      <c r="E801" s="7">
        <v>0</v>
      </c>
      <c r="F801" s="2">
        <v>0</v>
      </c>
      <c r="G801" s="1"/>
      <c r="H801" s="1"/>
      <c r="I801" s="1">
        <v>220</v>
      </c>
      <c r="J801" s="116" t="str">
        <f t="shared" si="12"/>
        <v>평일</v>
      </c>
    </row>
    <row r="802" spans="1:10" ht="21.75" hidden="1" customHeight="1" x14ac:dyDescent="0.25">
      <c r="A802" s="2">
        <v>2022</v>
      </c>
      <c r="B802" s="2">
        <v>12</v>
      </c>
      <c r="C802" s="2" t="s">
        <v>158</v>
      </c>
      <c r="D802" s="3">
        <v>44911</v>
      </c>
      <c r="E802" s="7">
        <v>0</v>
      </c>
      <c r="F802" s="2">
        <v>0</v>
      </c>
      <c r="G802" s="1"/>
      <c r="H802" s="1"/>
      <c r="I802" s="1">
        <v>221</v>
      </c>
      <c r="J802" s="116" t="str">
        <f t="shared" si="12"/>
        <v>평일</v>
      </c>
    </row>
    <row r="803" spans="1:10" ht="21.75" hidden="1" customHeight="1" x14ac:dyDescent="0.25">
      <c r="A803" s="2">
        <v>2022</v>
      </c>
      <c r="B803" s="2">
        <v>12</v>
      </c>
      <c r="C803" s="2" t="s">
        <v>159</v>
      </c>
      <c r="D803" s="3">
        <v>44912</v>
      </c>
      <c r="E803" s="7">
        <v>0</v>
      </c>
      <c r="F803" s="2">
        <v>0</v>
      </c>
      <c r="G803" s="1"/>
      <c r="H803" s="1"/>
      <c r="I803" s="1">
        <v>222</v>
      </c>
      <c r="J803" s="116" t="str">
        <f t="shared" si="12"/>
        <v>주말</v>
      </c>
    </row>
    <row r="804" spans="1:10" ht="21.75" hidden="1" customHeight="1" x14ac:dyDescent="0.25">
      <c r="A804" s="2">
        <v>2022</v>
      </c>
      <c r="B804" s="2">
        <v>12</v>
      </c>
      <c r="C804" s="2" t="s">
        <v>160</v>
      </c>
      <c r="D804" s="3">
        <v>44913</v>
      </c>
      <c r="E804" s="7">
        <v>0</v>
      </c>
      <c r="F804" s="2">
        <v>0</v>
      </c>
      <c r="G804" s="1"/>
      <c r="H804" s="1"/>
      <c r="I804" s="1">
        <v>223</v>
      </c>
      <c r="J804" s="116" t="str">
        <f t="shared" si="12"/>
        <v>주말</v>
      </c>
    </row>
    <row r="805" spans="1:10" ht="21.75" hidden="1" customHeight="1" x14ac:dyDescent="0.25">
      <c r="A805" s="2">
        <v>2022</v>
      </c>
      <c r="B805" s="2">
        <v>12</v>
      </c>
      <c r="C805" s="2" t="s">
        <v>161</v>
      </c>
      <c r="D805" s="3">
        <v>44914</v>
      </c>
      <c r="E805" s="7">
        <v>0</v>
      </c>
      <c r="F805" s="2">
        <v>0</v>
      </c>
      <c r="G805" s="1"/>
      <c r="H805" s="1"/>
      <c r="I805" s="1">
        <v>224</v>
      </c>
      <c r="J805" s="116" t="str">
        <f t="shared" si="12"/>
        <v>평일</v>
      </c>
    </row>
    <row r="806" spans="1:10" ht="21.75" hidden="1" customHeight="1" x14ac:dyDescent="0.25">
      <c r="A806" s="2">
        <v>2022</v>
      </c>
      <c r="B806" s="2">
        <v>12</v>
      </c>
      <c r="C806" s="2" t="s">
        <v>162</v>
      </c>
      <c r="D806" s="3">
        <v>44915</v>
      </c>
      <c r="E806" s="7">
        <v>0</v>
      </c>
      <c r="F806" s="2">
        <v>0</v>
      </c>
      <c r="G806" s="1"/>
      <c r="H806" s="1"/>
      <c r="I806" s="1">
        <v>225</v>
      </c>
      <c r="J806" s="116" t="str">
        <f t="shared" si="12"/>
        <v>평일</v>
      </c>
    </row>
    <row r="807" spans="1:10" ht="21.75" hidden="1" customHeight="1" x14ac:dyDescent="0.25">
      <c r="A807" s="2">
        <v>2022</v>
      </c>
      <c r="B807" s="2">
        <v>12</v>
      </c>
      <c r="C807" s="2" t="s">
        <v>163</v>
      </c>
      <c r="D807" s="3">
        <v>44916</v>
      </c>
      <c r="E807" s="7">
        <v>0</v>
      </c>
      <c r="F807" s="2">
        <v>0</v>
      </c>
      <c r="G807" s="1"/>
      <c r="H807" s="1"/>
      <c r="I807" s="1">
        <v>226</v>
      </c>
      <c r="J807" s="116" t="str">
        <f t="shared" si="12"/>
        <v>평일</v>
      </c>
    </row>
    <row r="808" spans="1:10" ht="21.75" hidden="1" customHeight="1" x14ac:dyDescent="0.25">
      <c r="A808" s="2">
        <v>2022</v>
      </c>
      <c r="B808" s="2">
        <v>12</v>
      </c>
      <c r="C808" s="2" t="s">
        <v>157</v>
      </c>
      <c r="D808" s="3">
        <v>44917</v>
      </c>
      <c r="E808" s="7">
        <v>0</v>
      </c>
      <c r="F808" s="2">
        <v>0</v>
      </c>
      <c r="G808" s="1"/>
      <c r="H808" s="1"/>
      <c r="I808" s="1">
        <v>227</v>
      </c>
      <c r="J808" s="116" t="str">
        <f t="shared" si="12"/>
        <v>평일</v>
      </c>
    </row>
    <row r="809" spans="1:10" ht="21.75" hidden="1" customHeight="1" x14ac:dyDescent="0.25">
      <c r="A809" s="2">
        <v>2022</v>
      </c>
      <c r="B809" s="2">
        <v>12</v>
      </c>
      <c r="C809" s="2" t="s">
        <v>158</v>
      </c>
      <c r="D809" s="3">
        <v>44918</v>
      </c>
      <c r="E809" s="7">
        <v>0</v>
      </c>
      <c r="F809" s="2">
        <v>0</v>
      </c>
      <c r="G809" s="1"/>
      <c r="H809" s="1"/>
      <c r="I809" s="1">
        <v>228</v>
      </c>
      <c r="J809" s="116" t="str">
        <f t="shared" si="12"/>
        <v>평일</v>
      </c>
    </row>
    <row r="810" spans="1:10" ht="21.75" customHeight="1" x14ac:dyDescent="0.25">
      <c r="A810" s="2">
        <v>2022</v>
      </c>
      <c r="B810" s="2">
        <v>12</v>
      </c>
      <c r="C810" s="2" t="s">
        <v>159</v>
      </c>
      <c r="D810" s="3">
        <v>44919</v>
      </c>
      <c r="E810" s="7">
        <v>1532</v>
      </c>
      <c r="F810" s="2" t="s">
        <v>12</v>
      </c>
      <c r="G810" s="1">
        <v>18</v>
      </c>
      <c r="H810" s="6">
        <v>1514</v>
      </c>
      <c r="I810" s="1">
        <v>1</v>
      </c>
      <c r="J810" s="116" t="str">
        <f t="shared" si="12"/>
        <v>주말</v>
      </c>
    </row>
    <row r="811" spans="1:10" ht="21.75" customHeight="1" x14ac:dyDescent="0.25">
      <c r="A811" s="2">
        <v>2022</v>
      </c>
      <c r="B811" s="2">
        <v>12</v>
      </c>
      <c r="C811" s="2" t="s">
        <v>160</v>
      </c>
      <c r="D811" s="3">
        <v>44920</v>
      </c>
      <c r="E811" s="7">
        <v>1116</v>
      </c>
      <c r="F811" s="2" t="s">
        <v>12</v>
      </c>
      <c r="G811" s="1">
        <v>26</v>
      </c>
      <c r="H811" s="6">
        <v>1090</v>
      </c>
      <c r="I811" s="1">
        <v>2</v>
      </c>
      <c r="J811" s="116" t="str">
        <f t="shared" si="12"/>
        <v>주말</v>
      </c>
    </row>
    <row r="812" spans="1:10" ht="21.75" customHeight="1" x14ac:dyDescent="0.25">
      <c r="A812" s="2">
        <v>2022</v>
      </c>
      <c r="B812" s="2">
        <v>12</v>
      </c>
      <c r="C812" s="2" t="s">
        <v>161</v>
      </c>
      <c r="D812" s="3">
        <v>44921</v>
      </c>
      <c r="E812" s="7">
        <v>632</v>
      </c>
      <c r="F812" s="2" t="s">
        <v>12</v>
      </c>
      <c r="G812" s="1">
        <v>19</v>
      </c>
      <c r="H812" s="6">
        <v>613</v>
      </c>
      <c r="I812" s="1">
        <v>3</v>
      </c>
      <c r="J812" s="116" t="str">
        <f t="shared" si="12"/>
        <v>평일</v>
      </c>
    </row>
    <row r="813" spans="1:10" ht="21.75" customHeight="1" x14ac:dyDescent="0.25">
      <c r="A813" s="2">
        <v>2022</v>
      </c>
      <c r="B813" s="2">
        <v>12</v>
      </c>
      <c r="C813" s="2" t="s">
        <v>162</v>
      </c>
      <c r="D813" s="3">
        <v>44922</v>
      </c>
      <c r="E813" s="7">
        <v>575</v>
      </c>
      <c r="F813" s="2" t="s">
        <v>12</v>
      </c>
      <c r="G813" s="1">
        <v>24</v>
      </c>
      <c r="H813" s="6">
        <v>551</v>
      </c>
      <c r="I813" s="1">
        <v>4</v>
      </c>
      <c r="J813" s="116" t="str">
        <f t="shared" si="12"/>
        <v>평일</v>
      </c>
    </row>
    <row r="814" spans="1:10" ht="21.75" customHeight="1" x14ac:dyDescent="0.25">
      <c r="A814" s="2">
        <v>2022</v>
      </c>
      <c r="B814" s="2">
        <v>12</v>
      </c>
      <c r="C814" s="2" t="s">
        <v>163</v>
      </c>
      <c r="D814" s="3">
        <v>44923</v>
      </c>
      <c r="E814" s="7">
        <v>573</v>
      </c>
      <c r="F814" s="2" t="s">
        <v>12</v>
      </c>
      <c r="G814" s="1">
        <v>17</v>
      </c>
      <c r="H814" s="6">
        <v>556</v>
      </c>
      <c r="I814" s="1">
        <v>5</v>
      </c>
      <c r="J814" s="116" t="str">
        <f t="shared" si="12"/>
        <v>평일</v>
      </c>
    </row>
    <row r="815" spans="1:10" ht="21.75" customHeight="1" x14ac:dyDescent="0.25">
      <c r="A815" s="2">
        <v>2022</v>
      </c>
      <c r="B815" s="2">
        <v>12</v>
      </c>
      <c r="C815" s="2" t="s">
        <v>157</v>
      </c>
      <c r="D815" s="3">
        <v>44924</v>
      </c>
      <c r="E815" s="7">
        <v>610</v>
      </c>
      <c r="F815" s="2" t="s">
        <v>12</v>
      </c>
      <c r="G815" s="1">
        <v>31</v>
      </c>
      <c r="H815" s="6">
        <v>579</v>
      </c>
      <c r="I815" s="1">
        <v>6</v>
      </c>
      <c r="J815" s="116" t="str">
        <f t="shared" si="12"/>
        <v>평일</v>
      </c>
    </row>
    <row r="816" spans="1:10" ht="21.75" customHeight="1" x14ac:dyDescent="0.25">
      <c r="A816" s="2">
        <v>2022</v>
      </c>
      <c r="B816" s="2">
        <v>12</v>
      </c>
      <c r="C816" s="2" t="s">
        <v>158</v>
      </c>
      <c r="D816" s="3">
        <v>44925</v>
      </c>
      <c r="E816" s="7">
        <v>747</v>
      </c>
      <c r="F816" s="2" t="s">
        <v>12</v>
      </c>
      <c r="G816" s="1">
        <v>20</v>
      </c>
      <c r="H816" s="6">
        <v>727</v>
      </c>
      <c r="I816" s="1">
        <v>7</v>
      </c>
      <c r="J816" s="116" t="str">
        <f t="shared" si="12"/>
        <v>평일</v>
      </c>
    </row>
    <row r="817" spans="1:10" ht="21.75" customHeight="1" x14ac:dyDescent="0.25">
      <c r="A817" s="2">
        <v>2022</v>
      </c>
      <c r="B817" s="2">
        <v>12</v>
      </c>
      <c r="C817" s="2" t="s">
        <v>159</v>
      </c>
      <c r="D817" s="3">
        <v>44926</v>
      </c>
      <c r="E817" s="7">
        <v>787</v>
      </c>
      <c r="F817" s="2" t="s">
        <v>12</v>
      </c>
      <c r="G817" s="1">
        <v>34</v>
      </c>
      <c r="H817" s="6">
        <v>753</v>
      </c>
      <c r="I817" s="1">
        <v>8</v>
      </c>
      <c r="J817" s="116" t="str">
        <f t="shared" si="12"/>
        <v>주말</v>
      </c>
    </row>
    <row r="818" spans="1:10" ht="21.75" customHeight="1" x14ac:dyDescent="0.25">
      <c r="A818" s="2">
        <v>2023</v>
      </c>
      <c r="B818" s="2">
        <v>1</v>
      </c>
      <c r="C818" s="2" t="s">
        <v>160</v>
      </c>
      <c r="D818" s="3">
        <v>44927</v>
      </c>
      <c r="E818" s="7">
        <v>0</v>
      </c>
      <c r="F818" s="2" t="s">
        <v>12</v>
      </c>
      <c r="G818" s="1">
        <v>0</v>
      </c>
      <c r="H818" s="6">
        <v>0</v>
      </c>
      <c r="I818" s="1">
        <v>9</v>
      </c>
      <c r="J818" s="116" t="str">
        <f t="shared" si="12"/>
        <v>주말</v>
      </c>
    </row>
    <row r="819" spans="1:10" ht="21.75" customHeight="1" x14ac:dyDescent="0.25">
      <c r="A819" s="2">
        <v>2023</v>
      </c>
      <c r="B819" s="2">
        <v>1</v>
      </c>
      <c r="C819" s="2" t="s">
        <v>161</v>
      </c>
      <c r="D819" s="3">
        <v>44928</v>
      </c>
      <c r="E819" s="7">
        <v>349</v>
      </c>
      <c r="F819" s="2" t="s">
        <v>12</v>
      </c>
      <c r="G819" s="1">
        <v>7</v>
      </c>
      <c r="H819" s="6">
        <v>342</v>
      </c>
      <c r="I819" s="1">
        <v>10</v>
      </c>
      <c r="J819" s="116" t="str">
        <f t="shared" si="12"/>
        <v>평일</v>
      </c>
    </row>
    <row r="820" spans="1:10" ht="21.75" customHeight="1" x14ac:dyDescent="0.25">
      <c r="A820" s="2">
        <v>2023</v>
      </c>
      <c r="B820" s="2">
        <v>1</v>
      </c>
      <c r="C820" s="2" t="s">
        <v>162</v>
      </c>
      <c r="D820" s="3">
        <v>44929</v>
      </c>
      <c r="E820" s="7">
        <v>367</v>
      </c>
      <c r="F820" s="2" t="s">
        <v>12</v>
      </c>
      <c r="G820" s="1">
        <v>15</v>
      </c>
      <c r="H820" s="6">
        <v>352</v>
      </c>
      <c r="I820" s="1">
        <v>11</v>
      </c>
      <c r="J820" s="116" t="str">
        <f t="shared" si="12"/>
        <v>평일</v>
      </c>
    </row>
    <row r="821" spans="1:10" ht="21.75" customHeight="1" x14ac:dyDescent="0.25">
      <c r="A821" s="2">
        <v>2023</v>
      </c>
      <c r="B821" s="2">
        <v>1</v>
      </c>
      <c r="C821" s="2" t="s">
        <v>163</v>
      </c>
      <c r="D821" s="3">
        <v>44930</v>
      </c>
      <c r="E821" s="7">
        <v>302</v>
      </c>
      <c r="F821" s="2" t="s">
        <v>12</v>
      </c>
      <c r="G821" s="1">
        <v>16</v>
      </c>
      <c r="H821" s="6">
        <v>286</v>
      </c>
      <c r="I821" s="1">
        <v>12</v>
      </c>
      <c r="J821" s="116" t="str">
        <f t="shared" si="12"/>
        <v>평일</v>
      </c>
    </row>
    <row r="822" spans="1:10" ht="21.75" customHeight="1" x14ac:dyDescent="0.25">
      <c r="A822" s="2">
        <v>2023</v>
      </c>
      <c r="B822" s="2">
        <v>1</v>
      </c>
      <c r="C822" s="2" t="s">
        <v>157</v>
      </c>
      <c r="D822" s="3">
        <v>44931</v>
      </c>
      <c r="E822" s="7">
        <v>339</v>
      </c>
      <c r="F822" s="2" t="s">
        <v>12</v>
      </c>
      <c r="G822" s="1">
        <v>18</v>
      </c>
      <c r="H822" s="6">
        <v>321</v>
      </c>
      <c r="I822" s="1">
        <v>13</v>
      </c>
      <c r="J822" s="116" t="str">
        <f t="shared" si="12"/>
        <v>평일</v>
      </c>
    </row>
    <row r="823" spans="1:10" ht="21.75" customHeight="1" x14ac:dyDescent="0.25">
      <c r="A823" s="2">
        <v>2023</v>
      </c>
      <c r="B823" s="2">
        <v>1</v>
      </c>
      <c r="C823" s="2" t="s">
        <v>158</v>
      </c>
      <c r="D823" s="3">
        <v>44932</v>
      </c>
      <c r="E823" s="7">
        <v>415</v>
      </c>
      <c r="F823" s="2" t="s">
        <v>12</v>
      </c>
      <c r="G823" s="1">
        <v>35</v>
      </c>
      <c r="H823" s="6">
        <v>380</v>
      </c>
      <c r="I823" s="1">
        <v>14</v>
      </c>
      <c r="J823" s="116" t="str">
        <f t="shared" si="12"/>
        <v>평일</v>
      </c>
    </row>
    <row r="824" spans="1:10" ht="21.75" customHeight="1" x14ac:dyDescent="0.25">
      <c r="A824" s="2">
        <v>2023</v>
      </c>
      <c r="B824" s="2">
        <v>1</v>
      </c>
      <c r="C824" s="2" t="s">
        <v>159</v>
      </c>
      <c r="D824" s="3">
        <v>44933</v>
      </c>
      <c r="E824" s="7">
        <v>1098</v>
      </c>
      <c r="F824" s="2" t="s">
        <v>12</v>
      </c>
      <c r="G824" s="1">
        <v>52</v>
      </c>
      <c r="H824" s="6">
        <v>1046</v>
      </c>
      <c r="I824" s="1">
        <v>15</v>
      </c>
      <c r="J824" s="116" t="str">
        <f t="shared" si="12"/>
        <v>주말</v>
      </c>
    </row>
    <row r="825" spans="1:10" ht="21.75" customHeight="1" x14ac:dyDescent="0.25">
      <c r="A825" s="2">
        <v>2023</v>
      </c>
      <c r="B825" s="2">
        <v>1</v>
      </c>
      <c r="C825" s="2" t="s">
        <v>160</v>
      </c>
      <c r="D825" s="3">
        <v>44934</v>
      </c>
      <c r="E825" s="7">
        <v>959</v>
      </c>
      <c r="F825" s="2" t="s">
        <v>12</v>
      </c>
      <c r="G825" s="1">
        <v>33</v>
      </c>
      <c r="H825" s="6">
        <v>926</v>
      </c>
      <c r="I825" s="1">
        <v>16</v>
      </c>
      <c r="J825" s="116" t="str">
        <f t="shared" si="12"/>
        <v>주말</v>
      </c>
    </row>
    <row r="826" spans="1:10" ht="21.75" customHeight="1" x14ac:dyDescent="0.25">
      <c r="A826" s="2">
        <v>2023</v>
      </c>
      <c r="B826" s="2">
        <v>1</v>
      </c>
      <c r="C826" s="2" t="s">
        <v>161</v>
      </c>
      <c r="D826" s="3">
        <v>44935</v>
      </c>
      <c r="E826" s="7">
        <v>395</v>
      </c>
      <c r="F826" s="2" t="s">
        <v>12</v>
      </c>
      <c r="G826" s="1">
        <v>24</v>
      </c>
      <c r="H826" s="6">
        <v>371</v>
      </c>
      <c r="I826" s="1">
        <v>17</v>
      </c>
      <c r="J826" s="116" t="str">
        <f t="shared" si="12"/>
        <v>평일</v>
      </c>
    </row>
    <row r="827" spans="1:10" ht="21.75" customHeight="1" x14ac:dyDescent="0.25">
      <c r="A827" s="2">
        <v>2023</v>
      </c>
      <c r="B827" s="2">
        <v>1</v>
      </c>
      <c r="C827" s="2" t="s">
        <v>162</v>
      </c>
      <c r="D827" s="3">
        <v>44936</v>
      </c>
      <c r="E827" s="7">
        <v>350</v>
      </c>
      <c r="F827" s="2" t="s">
        <v>12</v>
      </c>
      <c r="G827" s="1">
        <v>14</v>
      </c>
      <c r="H827" s="6">
        <v>336</v>
      </c>
      <c r="I827" s="1">
        <v>18</v>
      </c>
      <c r="J827" s="116" t="str">
        <f t="shared" si="12"/>
        <v>평일</v>
      </c>
    </row>
    <row r="828" spans="1:10" ht="21.75" customHeight="1" x14ac:dyDescent="0.25">
      <c r="A828" s="2">
        <v>2023</v>
      </c>
      <c r="B828" s="2">
        <v>1</v>
      </c>
      <c r="C828" s="2" t="s">
        <v>163</v>
      </c>
      <c r="D828" s="3">
        <v>44937</v>
      </c>
      <c r="E828" s="7">
        <v>424</v>
      </c>
      <c r="F828" s="2" t="s">
        <v>12</v>
      </c>
      <c r="G828" s="1">
        <v>20</v>
      </c>
      <c r="H828" s="6">
        <v>404</v>
      </c>
      <c r="I828" s="1">
        <v>19</v>
      </c>
      <c r="J828" s="116" t="str">
        <f t="shared" si="12"/>
        <v>평일</v>
      </c>
    </row>
    <row r="829" spans="1:10" ht="21.75" customHeight="1" x14ac:dyDescent="0.25">
      <c r="A829" s="2">
        <v>2023</v>
      </c>
      <c r="B829" s="2">
        <v>1</v>
      </c>
      <c r="C829" s="2" t="s">
        <v>157</v>
      </c>
      <c r="D829" s="3">
        <v>44938</v>
      </c>
      <c r="E829" s="7">
        <v>407</v>
      </c>
      <c r="F829" s="2" t="s">
        <v>12</v>
      </c>
      <c r="G829" s="1">
        <v>47</v>
      </c>
      <c r="H829" s="6">
        <v>360</v>
      </c>
      <c r="I829" s="1">
        <v>20</v>
      </c>
      <c r="J829" s="116" t="str">
        <f t="shared" si="12"/>
        <v>평일</v>
      </c>
    </row>
    <row r="830" spans="1:10" ht="21.75" customHeight="1" x14ac:dyDescent="0.25">
      <c r="A830" s="2">
        <v>2023</v>
      </c>
      <c r="B830" s="2">
        <v>1</v>
      </c>
      <c r="C830" s="2" t="s">
        <v>158</v>
      </c>
      <c r="D830" s="3">
        <v>44939</v>
      </c>
      <c r="E830" s="7">
        <v>462</v>
      </c>
      <c r="F830" s="2" t="s">
        <v>12</v>
      </c>
      <c r="G830" s="1">
        <v>51</v>
      </c>
      <c r="H830" s="6">
        <v>411</v>
      </c>
      <c r="I830" s="1">
        <v>21</v>
      </c>
      <c r="J830" s="116" t="str">
        <f t="shared" si="12"/>
        <v>평일</v>
      </c>
    </row>
    <row r="831" spans="1:10" ht="21.75" customHeight="1" x14ac:dyDescent="0.25">
      <c r="A831" s="2">
        <v>2023</v>
      </c>
      <c r="B831" s="2">
        <v>1</v>
      </c>
      <c r="C831" s="2" t="s">
        <v>159</v>
      </c>
      <c r="D831" s="3">
        <v>44940</v>
      </c>
      <c r="E831" s="7">
        <v>1337</v>
      </c>
      <c r="F831" s="2" t="s">
        <v>12</v>
      </c>
      <c r="G831" s="1">
        <v>75</v>
      </c>
      <c r="H831" s="6">
        <v>1262</v>
      </c>
      <c r="I831" s="1">
        <v>22</v>
      </c>
      <c r="J831" s="116" t="str">
        <f t="shared" si="12"/>
        <v>주말</v>
      </c>
    </row>
    <row r="832" spans="1:10" ht="21.75" customHeight="1" x14ac:dyDescent="0.25">
      <c r="A832" s="2">
        <v>2023</v>
      </c>
      <c r="B832" s="2">
        <v>1</v>
      </c>
      <c r="C832" s="2" t="s">
        <v>160</v>
      </c>
      <c r="D832" s="3">
        <v>44941</v>
      </c>
      <c r="E832" s="7">
        <v>928</v>
      </c>
      <c r="F832" s="2" t="s">
        <v>12</v>
      </c>
      <c r="G832" s="1">
        <v>29</v>
      </c>
      <c r="H832" s="6">
        <v>899</v>
      </c>
      <c r="I832" s="1">
        <v>23</v>
      </c>
      <c r="J832" s="116" t="str">
        <f t="shared" si="12"/>
        <v>주말</v>
      </c>
    </row>
    <row r="833" spans="1:10" ht="21.75" customHeight="1" x14ac:dyDescent="0.25">
      <c r="A833" s="2">
        <v>2023</v>
      </c>
      <c r="B833" s="2">
        <v>1</v>
      </c>
      <c r="C833" s="2" t="s">
        <v>161</v>
      </c>
      <c r="D833" s="3">
        <v>44942</v>
      </c>
      <c r="E833" s="7">
        <v>420</v>
      </c>
      <c r="F833" s="2" t="s">
        <v>12</v>
      </c>
      <c r="G833" s="1">
        <v>19</v>
      </c>
      <c r="H833" s="6">
        <v>401</v>
      </c>
      <c r="I833" s="1">
        <v>24</v>
      </c>
      <c r="J833" s="116" t="str">
        <f t="shared" si="12"/>
        <v>평일</v>
      </c>
    </row>
    <row r="834" spans="1:10" ht="21.75" customHeight="1" x14ac:dyDescent="0.25">
      <c r="A834" s="2">
        <v>2023</v>
      </c>
      <c r="B834" s="2">
        <v>1</v>
      </c>
      <c r="C834" s="2" t="s">
        <v>162</v>
      </c>
      <c r="D834" s="3">
        <v>44943</v>
      </c>
      <c r="E834" s="7">
        <v>382</v>
      </c>
      <c r="F834" s="2" t="s">
        <v>12</v>
      </c>
      <c r="G834" s="1">
        <v>20</v>
      </c>
      <c r="H834" s="6">
        <v>362</v>
      </c>
      <c r="I834" s="1">
        <v>25</v>
      </c>
      <c r="J834" s="116" t="str">
        <f t="shared" si="12"/>
        <v>평일</v>
      </c>
    </row>
    <row r="835" spans="1:10" ht="21.75" customHeight="1" x14ac:dyDescent="0.25">
      <c r="A835" s="2">
        <v>2023</v>
      </c>
      <c r="B835" s="2">
        <v>1</v>
      </c>
      <c r="C835" s="2" t="s">
        <v>163</v>
      </c>
      <c r="D835" s="3">
        <v>44944</v>
      </c>
      <c r="E835" s="7">
        <v>365</v>
      </c>
      <c r="F835" s="2" t="s">
        <v>12</v>
      </c>
      <c r="G835" s="1">
        <v>33</v>
      </c>
      <c r="H835" s="6">
        <v>332</v>
      </c>
      <c r="I835" s="1">
        <v>26</v>
      </c>
      <c r="J835" s="116" t="str">
        <f t="shared" ref="J835:J898" si="13">+IF(OR(C835="토",C835="일"),"주말","평일")</f>
        <v>평일</v>
      </c>
    </row>
    <row r="836" spans="1:10" ht="21.75" customHeight="1" x14ac:dyDescent="0.25">
      <c r="A836" s="2">
        <v>2023</v>
      </c>
      <c r="B836" s="2">
        <v>1</v>
      </c>
      <c r="C836" s="2" t="s">
        <v>157</v>
      </c>
      <c r="D836" s="3">
        <v>44945</v>
      </c>
      <c r="E836" s="7">
        <v>319</v>
      </c>
      <c r="F836" s="2" t="s">
        <v>12</v>
      </c>
      <c r="G836" s="1">
        <v>7</v>
      </c>
      <c r="H836" s="6">
        <v>312</v>
      </c>
      <c r="I836" s="1">
        <v>27</v>
      </c>
      <c r="J836" s="116" t="str">
        <f t="shared" si="13"/>
        <v>평일</v>
      </c>
    </row>
    <row r="837" spans="1:10" ht="21.75" customHeight="1" x14ac:dyDescent="0.25">
      <c r="A837" s="2">
        <v>2023</v>
      </c>
      <c r="B837" s="2">
        <v>1</v>
      </c>
      <c r="C837" s="2" t="s">
        <v>158</v>
      </c>
      <c r="D837" s="3">
        <v>44946</v>
      </c>
      <c r="E837" s="7">
        <v>510</v>
      </c>
      <c r="F837" s="2" t="s">
        <v>12</v>
      </c>
      <c r="G837" s="1">
        <v>36</v>
      </c>
      <c r="H837" s="6">
        <v>474</v>
      </c>
      <c r="I837" s="1">
        <v>28</v>
      </c>
      <c r="J837" s="116" t="str">
        <f t="shared" si="13"/>
        <v>평일</v>
      </c>
    </row>
    <row r="838" spans="1:10" ht="21.75" customHeight="1" x14ac:dyDescent="0.25">
      <c r="A838" s="2">
        <v>2023</v>
      </c>
      <c r="B838" s="2">
        <v>1</v>
      </c>
      <c r="C838" s="2" t="s">
        <v>159</v>
      </c>
      <c r="D838" s="3">
        <v>44947</v>
      </c>
      <c r="E838" s="7">
        <v>0</v>
      </c>
      <c r="F838" s="2" t="s">
        <v>12</v>
      </c>
      <c r="G838" s="1">
        <v>0</v>
      </c>
      <c r="H838" s="6">
        <v>0</v>
      </c>
      <c r="I838" s="1">
        <v>29</v>
      </c>
      <c r="J838" s="116" t="str">
        <f t="shared" si="13"/>
        <v>주말</v>
      </c>
    </row>
    <row r="839" spans="1:10" ht="21.75" customHeight="1" x14ac:dyDescent="0.25">
      <c r="A839" s="2">
        <v>2023</v>
      </c>
      <c r="B839" s="2">
        <v>1</v>
      </c>
      <c r="C839" s="2" t="s">
        <v>160</v>
      </c>
      <c r="D839" s="3">
        <v>44948</v>
      </c>
      <c r="E839" s="7">
        <v>0</v>
      </c>
      <c r="F839" s="2" t="s">
        <v>12</v>
      </c>
      <c r="G839" s="1">
        <v>0</v>
      </c>
      <c r="H839" s="6">
        <v>0</v>
      </c>
      <c r="I839" s="1">
        <v>30</v>
      </c>
      <c r="J839" s="116" t="str">
        <f t="shared" si="13"/>
        <v>주말</v>
      </c>
    </row>
    <row r="840" spans="1:10" ht="21.75" customHeight="1" x14ac:dyDescent="0.25">
      <c r="A840" s="2">
        <v>2023</v>
      </c>
      <c r="B840" s="2">
        <v>1</v>
      </c>
      <c r="C840" s="2" t="s">
        <v>161</v>
      </c>
      <c r="D840" s="3">
        <v>44949</v>
      </c>
      <c r="E840" s="7">
        <v>809</v>
      </c>
      <c r="F840" s="2" t="s">
        <v>12</v>
      </c>
      <c r="G840" s="1">
        <v>51</v>
      </c>
      <c r="H840" s="6">
        <v>758</v>
      </c>
      <c r="I840" s="1">
        <v>31</v>
      </c>
      <c r="J840" s="116" t="str">
        <f t="shared" si="13"/>
        <v>평일</v>
      </c>
    </row>
    <row r="841" spans="1:10" ht="21.75" customHeight="1" x14ac:dyDescent="0.25">
      <c r="A841" s="2">
        <v>2023</v>
      </c>
      <c r="B841" s="2">
        <v>1</v>
      </c>
      <c r="C841" s="2" t="s">
        <v>162</v>
      </c>
      <c r="D841" s="3">
        <v>44950</v>
      </c>
      <c r="E841" s="7">
        <v>694</v>
      </c>
      <c r="F841" s="2" t="s">
        <v>12</v>
      </c>
      <c r="G841" s="1">
        <v>51</v>
      </c>
      <c r="H841" s="6">
        <v>643</v>
      </c>
      <c r="I841" s="1">
        <v>32</v>
      </c>
      <c r="J841" s="116" t="str">
        <f t="shared" si="13"/>
        <v>평일</v>
      </c>
    </row>
    <row r="842" spans="1:10" ht="21.75" customHeight="1" x14ac:dyDescent="0.25">
      <c r="A842" s="2">
        <v>2023</v>
      </c>
      <c r="B842" s="2">
        <v>1</v>
      </c>
      <c r="C842" s="2" t="s">
        <v>163</v>
      </c>
      <c r="D842" s="3">
        <v>44951</v>
      </c>
      <c r="E842" s="7">
        <v>424</v>
      </c>
      <c r="F842" s="2" t="s">
        <v>12</v>
      </c>
      <c r="G842" s="1">
        <v>13</v>
      </c>
      <c r="H842" s="6">
        <v>411</v>
      </c>
      <c r="I842" s="1">
        <v>33</v>
      </c>
      <c r="J842" s="116" t="str">
        <f t="shared" si="13"/>
        <v>평일</v>
      </c>
    </row>
    <row r="843" spans="1:10" ht="21.75" customHeight="1" x14ac:dyDescent="0.25">
      <c r="A843" s="2">
        <v>2023</v>
      </c>
      <c r="B843" s="2">
        <v>1</v>
      </c>
      <c r="C843" s="2" t="s">
        <v>157</v>
      </c>
      <c r="D843" s="3">
        <v>44952</v>
      </c>
      <c r="E843" s="7">
        <v>406</v>
      </c>
      <c r="F843" s="2" t="s">
        <v>12</v>
      </c>
      <c r="G843" s="1">
        <v>16</v>
      </c>
      <c r="H843" s="6">
        <v>390</v>
      </c>
      <c r="I843" s="1">
        <v>34</v>
      </c>
      <c r="J843" s="116" t="str">
        <f t="shared" si="13"/>
        <v>평일</v>
      </c>
    </row>
    <row r="844" spans="1:10" ht="21.75" customHeight="1" x14ac:dyDescent="0.25">
      <c r="A844" s="2">
        <v>2023</v>
      </c>
      <c r="B844" s="2">
        <v>1</v>
      </c>
      <c r="C844" s="2" t="s">
        <v>158</v>
      </c>
      <c r="D844" s="3">
        <v>44953</v>
      </c>
      <c r="E844" s="7">
        <v>592</v>
      </c>
      <c r="F844" s="2" t="s">
        <v>12</v>
      </c>
      <c r="G844" s="1">
        <v>37</v>
      </c>
      <c r="H844" s="6">
        <v>555</v>
      </c>
      <c r="I844" s="1">
        <v>35</v>
      </c>
      <c r="J844" s="116" t="str">
        <f t="shared" si="13"/>
        <v>평일</v>
      </c>
    </row>
    <row r="845" spans="1:10" ht="21.75" customHeight="1" x14ac:dyDescent="0.25">
      <c r="A845" s="2">
        <v>2023</v>
      </c>
      <c r="B845" s="2">
        <v>1</v>
      </c>
      <c r="C845" s="2" t="s">
        <v>159</v>
      </c>
      <c r="D845" s="3">
        <v>44954</v>
      </c>
      <c r="E845" s="7">
        <v>1310</v>
      </c>
      <c r="F845" s="2" t="s">
        <v>12</v>
      </c>
      <c r="G845" s="1">
        <v>58</v>
      </c>
      <c r="H845" s="6">
        <v>1252</v>
      </c>
      <c r="I845" s="1">
        <v>36</v>
      </c>
      <c r="J845" s="116" t="str">
        <f t="shared" si="13"/>
        <v>주말</v>
      </c>
    </row>
    <row r="846" spans="1:10" ht="21.75" customHeight="1" x14ac:dyDescent="0.25">
      <c r="A846" s="2">
        <v>2023</v>
      </c>
      <c r="B846" s="2">
        <v>1</v>
      </c>
      <c r="C846" s="2" t="s">
        <v>160</v>
      </c>
      <c r="D846" s="3">
        <v>44955</v>
      </c>
      <c r="E846" s="7">
        <v>1277</v>
      </c>
      <c r="F846" s="2" t="s">
        <v>12</v>
      </c>
      <c r="G846" s="1">
        <v>46</v>
      </c>
      <c r="H846" s="6">
        <v>1231</v>
      </c>
      <c r="I846" s="1">
        <v>37</v>
      </c>
      <c r="J846" s="116" t="str">
        <f t="shared" si="13"/>
        <v>주말</v>
      </c>
    </row>
    <row r="847" spans="1:10" ht="21.75" customHeight="1" x14ac:dyDescent="0.25">
      <c r="A847" s="2">
        <v>2023</v>
      </c>
      <c r="B847" s="2">
        <v>1</v>
      </c>
      <c r="C847" s="2" t="s">
        <v>161</v>
      </c>
      <c r="D847" s="3">
        <v>44956</v>
      </c>
      <c r="E847" s="7">
        <v>695</v>
      </c>
      <c r="F847" s="2" t="s">
        <v>12</v>
      </c>
      <c r="G847" s="1">
        <v>23</v>
      </c>
      <c r="H847" s="6">
        <v>672</v>
      </c>
      <c r="I847" s="1">
        <v>38</v>
      </c>
      <c r="J847" s="116" t="str">
        <f t="shared" si="13"/>
        <v>평일</v>
      </c>
    </row>
    <row r="848" spans="1:10" ht="21.75" customHeight="1" x14ac:dyDescent="0.25">
      <c r="A848" s="2">
        <v>2023</v>
      </c>
      <c r="B848" s="2">
        <v>1</v>
      </c>
      <c r="C848" s="2" t="s">
        <v>162</v>
      </c>
      <c r="D848" s="3">
        <v>44957</v>
      </c>
      <c r="E848" s="7">
        <v>677</v>
      </c>
      <c r="F848" s="2" t="s">
        <v>12</v>
      </c>
      <c r="G848" s="1">
        <v>14</v>
      </c>
      <c r="H848" s="6">
        <v>663</v>
      </c>
      <c r="I848" s="1">
        <v>39</v>
      </c>
      <c r="J848" s="116" t="str">
        <f t="shared" si="13"/>
        <v>평일</v>
      </c>
    </row>
    <row r="849" spans="1:10" ht="21.75" customHeight="1" x14ac:dyDescent="0.25">
      <c r="A849" s="2">
        <v>2023</v>
      </c>
      <c r="B849" s="2">
        <v>2</v>
      </c>
      <c r="C849" s="2" t="s">
        <v>163</v>
      </c>
      <c r="D849" s="3">
        <v>44958</v>
      </c>
      <c r="E849" s="7">
        <v>198</v>
      </c>
      <c r="F849" s="2" t="s">
        <v>12</v>
      </c>
      <c r="G849" s="1">
        <v>18</v>
      </c>
      <c r="H849" s="6">
        <v>180</v>
      </c>
      <c r="I849" s="1">
        <v>40</v>
      </c>
      <c r="J849" s="116" t="str">
        <f t="shared" si="13"/>
        <v>평일</v>
      </c>
    </row>
    <row r="850" spans="1:10" ht="21.75" customHeight="1" x14ac:dyDescent="0.25">
      <c r="A850" s="2">
        <v>2023</v>
      </c>
      <c r="B850" s="2">
        <v>2</v>
      </c>
      <c r="C850" s="2" t="s">
        <v>157</v>
      </c>
      <c r="D850" s="3">
        <v>44959</v>
      </c>
      <c r="E850" s="7">
        <v>186</v>
      </c>
      <c r="F850" s="2" t="s">
        <v>12</v>
      </c>
      <c r="G850" s="1">
        <v>14</v>
      </c>
      <c r="H850" s="6">
        <v>172</v>
      </c>
      <c r="I850" s="1">
        <v>41</v>
      </c>
      <c r="J850" s="116" t="str">
        <f t="shared" si="13"/>
        <v>평일</v>
      </c>
    </row>
    <row r="851" spans="1:10" ht="21.75" customHeight="1" x14ac:dyDescent="0.25">
      <c r="A851" s="2">
        <v>2023</v>
      </c>
      <c r="B851" s="2">
        <v>2</v>
      </c>
      <c r="C851" s="2" t="s">
        <v>158</v>
      </c>
      <c r="D851" s="3">
        <v>44960</v>
      </c>
      <c r="E851" s="7">
        <v>256</v>
      </c>
      <c r="F851" s="2" t="s">
        <v>12</v>
      </c>
      <c r="G851" s="1">
        <v>30</v>
      </c>
      <c r="H851" s="6">
        <v>226</v>
      </c>
      <c r="I851" s="1">
        <v>42</v>
      </c>
      <c r="J851" s="116" t="str">
        <f t="shared" si="13"/>
        <v>평일</v>
      </c>
    </row>
    <row r="852" spans="1:10" ht="21.75" customHeight="1" x14ac:dyDescent="0.25">
      <c r="A852" s="2">
        <v>2023</v>
      </c>
      <c r="B852" s="2">
        <v>2</v>
      </c>
      <c r="C852" s="2" t="s">
        <v>159</v>
      </c>
      <c r="D852" s="3">
        <v>44961</v>
      </c>
      <c r="E852" s="7">
        <v>638</v>
      </c>
      <c r="F852" s="2" t="s">
        <v>12</v>
      </c>
      <c r="G852" s="1">
        <v>86</v>
      </c>
      <c r="H852" s="6">
        <v>552</v>
      </c>
      <c r="I852" s="1">
        <v>43</v>
      </c>
      <c r="J852" s="116" t="str">
        <f t="shared" si="13"/>
        <v>주말</v>
      </c>
    </row>
    <row r="853" spans="1:10" ht="21.75" customHeight="1" x14ac:dyDescent="0.25">
      <c r="A853" s="2">
        <v>2023</v>
      </c>
      <c r="B853" s="2">
        <v>2</v>
      </c>
      <c r="C853" s="2" t="s">
        <v>160</v>
      </c>
      <c r="D853" s="3">
        <v>44962</v>
      </c>
      <c r="E853" s="7">
        <v>507</v>
      </c>
      <c r="F853" s="2" t="s">
        <v>12</v>
      </c>
      <c r="G853" s="1">
        <v>64</v>
      </c>
      <c r="H853" s="6">
        <v>443</v>
      </c>
      <c r="I853" s="1">
        <v>44</v>
      </c>
      <c r="J853" s="116" t="str">
        <f t="shared" si="13"/>
        <v>주말</v>
      </c>
    </row>
    <row r="854" spans="1:10" ht="21.75" customHeight="1" x14ac:dyDescent="0.25">
      <c r="A854" s="2">
        <v>2023</v>
      </c>
      <c r="B854" s="2">
        <v>2</v>
      </c>
      <c r="C854" s="2" t="s">
        <v>161</v>
      </c>
      <c r="D854" s="3">
        <v>44963</v>
      </c>
      <c r="E854" s="7">
        <v>258</v>
      </c>
      <c r="F854" s="2" t="s">
        <v>12</v>
      </c>
      <c r="G854" s="1">
        <v>30</v>
      </c>
      <c r="H854" s="6">
        <v>228</v>
      </c>
      <c r="I854" s="1">
        <v>45</v>
      </c>
      <c r="J854" s="116" t="str">
        <f t="shared" si="13"/>
        <v>평일</v>
      </c>
    </row>
    <row r="855" spans="1:10" ht="21.75" customHeight="1" x14ac:dyDescent="0.25">
      <c r="A855" s="2">
        <v>2023</v>
      </c>
      <c r="B855" s="2">
        <v>2</v>
      </c>
      <c r="C855" s="2" t="s">
        <v>162</v>
      </c>
      <c r="D855" s="3">
        <v>44964</v>
      </c>
      <c r="E855" s="7">
        <v>245</v>
      </c>
      <c r="F855" s="2" t="s">
        <v>12</v>
      </c>
      <c r="G855" s="1">
        <v>42</v>
      </c>
      <c r="H855" s="6">
        <v>203</v>
      </c>
      <c r="I855" s="1">
        <v>46</v>
      </c>
      <c r="J855" s="116" t="str">
        <f t="shared" si="13"/>
        <v>평일</v>
      </c>
    </row>
    <row r="856" spans="1:10" ht="21.75" customHeight="1" x14ac:dyDescent="0.25">
      <c r="A856" s="2">
        <v>2023</v>
      </c>
      <c r="B856" s="2">
        <v>2</v>
      </c>
      <c r="C856" s="2" t="s">
        <v>163</v>
      </c>
      <c r="D856" s="3">
        <v>44965</v>
      </c>
      <c r="E856" s="7">
        <v>195</v>
      </c>
      <c r="F856" s="2" t="s">
        <v>12</v>
      </c>
      <c r="G856" s="1">
        <v>33</v>
      </c>
      <c r="H856" s="6">
        <v>162</v>
      </c>
      <c r="I856" s="1">
        <v>47</v>
      </c>
      <c r="J856" s="116" t="str">
        <f t="shared" si="13"/>
        <v>평일</v>
      </c>
    </row>
    <row r="857" spans="1:10" ht="21.75" customHeight="1" x14ac:dyDescent="0.25">
      <c r="A857" s="2">
        <v>2023</v>
      </c>
      <c r="B857" s="2">
        <v>2</v>
      </c>
      <c r="C857" s="2" t="s">
        <v>157</v>
      </c>
      <c r="D857" s="3">
        <v>44966</v>
      </c>
      <c r="E857" s="7">
        <v>190</v>
      </c>
      <c r="F857" s="2" t="s">
        <v>12</v>
      </c>
      <c r="G857" s="1">
        <v>20</v>
      </c>
      <c r="H857" s="6">
        <v>170</v>
      </c>
      <c r="I857" s="1">
        <v>48</v>
      </c>
      <c r="J857" s="116" t="str">
        <f t="shared" si="13"/>
        <v>평일</v>
      </c>
    </row>
    <row r="858" spans="1:10" ht="21.75" customHeight="1" x14ac:dyDescent="0.25">
      <c r="A858" s="2">
        <v>2023</v>
      </c>
      <c r="B858" s="2">
        <v>2</v>
      </c>
      <c r="C858" s="2" t="s">
        <v>158</v>
      </c>
      <c r="D858" s="3">
        <v>44967</v>
      </c>
      <c r="E858" s="7">
        <v>294</v>
      </c>
      <c r="F858" s="2" t="s">
        <v>12</v>
      </c>
      <c r="G858" s="1">
        <v>48</v>
      </c>
      <c r="H858" s="6">
        <v>246</v>
      </c>
      <c r="I858" s="1">
        <v>49</v>
      </c>
      <c r="J858" s="116" t="str">
        <f t="shared" si="13"/>
        <v>평일</v>
      </c>
    </row>
    <row r="859" spans="1:10" ht="21.75" customHeight="1" x14ac:dyDescent="0.25">
      <c r="A859" s="2">
        <v>2023</v>
      </c>
      <c r="B859" s="2">
        <v>2</v>
      </c>
      <c r="C859" s="2" t="s">
        <v>159</v>
      </c>
      <c r="D859" s="3">
        <v>44968</v>
      </c>
      <c r="E859" s="7">
        <v>638</v>
      </c>
      <c r="F859" s="2" t="s">
        <v>12</v>
      </c>
      <c r="G859" s="1">
        <v>75</v>
      </c>
      <c r="H859" s="6">
        <v>563</v>
      </c>
      <c r="I859" s="1">
        <v>50</v>
      </c>
      <c r="J859" s="116" t="str">
        <f t="shared" si="13"/>
        <v>주말</v>
      </c>
    </row>
    <row r="860" spans="1:10" ht="21.75" customHeight="1" x14ac:dyDescent="0.25">
      <c r="A860" s="2">
        <v>2023</v>
      </c>
      <c r="B860" s="2">
        <v>2</v>
      </c>
      <c r="C860" s="2" t="s">
        <v>160</v>
      </c>
      <c r="D860" s="3">
        <v>44969</v>
      </c>
      <c r="E860" s="7">
        <v>529</v>
      </c>
      <c r="F860" s="2" t="s">
        <v>12</v>
      </c>
      <c r="G860" s="1">
        <v>99</v>
      </c>
      <c r="H860" s="6">
        <v>430</v>
      </c>
      <c r="I860" s="1">
        <v>51</v>
      </c>
      <c r="J860" s="116" t="str">
        <f t="shared" si="13"/>
        <v>주말</v>
      </c>
    </row>
    <row r="861" spans="1:10" ht="21.75" customHeight="1" x14ac:dyDescent="0.25">
      <c r="A861" s="2">
        <v>2023</v>
      </c>
      <c r="B861" s="2">
        <v>2</v>
      </c>
      <c r="C861" s="2" t="s">
        <v>161</v>
      </c>
      <c r="D861" s="3">
        <v>44970</v>
      </c>
      <c r="E861" s="7">
        <v>280</v>
      </c>
      <c r="F861" s="2" t="s">
        <v>12</v>
      </c>
      <c r="G861" s="1">
        <v>44</v>
      </c>
      <c r="H861" s="6">
        <v>236</v>
      </c>
      <c r="I861" s="1">
        <v>52</v>
      </c>
      <c r="J861" s="116" t="str">
        <f t="shared" si="13"/>
        <v>평일</v>
      </c>
    </row>
    <row r="862" spans="1:10" ht="21.75" customHeight="1" x14ac:dyDescent="0.25">
      <c r="A862" s="2">
        <v>2023</v>
      </c>
      <c r="B862" s="2">
        <v>2</v>
      </c>
      <c r="C862" s="2" t="s">
        <v>162</v>
      </c>
      <c r="D862" s="3">
        <v>44971</v>
      </c>
      <c r="E862" s="7">
        <v>348</v>
      </c>
      <c r="F862" s="2" t="s">
        <v>12</v>
      </c>
      <c r="G862" s="1">
        <v>50</v>
      </c>
      <c r="H862" s="6">
        <v>298</v>
      </c>
      <c r="I862" s="1">
        <v>53</v>
      </c>
      <c r="J862" s="116" t="str">
        <f t="shared" si="13"/>
        <v>평일</v>
      </c>
    </row>
    <row r="863" spans="1:10" ht="21.75" customHeight="1" x14ac:dyDescent="0.25">
      <c r="A863" s="2">
        <v>2023</v>
      </c>
      <c r="B863" s="2">
        <v>2</v>
      </c>
      <c r="C863" s="2" t="s">
        <v>163</v>
      </c>
      <c r="D863" s="3">
        <v>44972</v>
      </c>
      <c r="E863" s="7">
        <v>241</v>
      </c>
      <c r="F863" s="2" t="s">
        <v>12</v>
      </c>
      <c r="G863" s="1">
        <v>40</v>
      </c>
      <c r="H863" s="6">
        <v>201</v>
      </c>
      <c r="I863" s="1">
        <v>54</v>
      </c>
      <c r="J863" s="116" t="str">
        <f t="shared" si="13"/>
        <v>평일</v>
      </c>
    </row>
    <row r="864" spans="1:10" ht="21.75" customHeight="1" x14ac:dyDescent="0.25">
      <c r="A864" s="2">
        <v>2023</v>
      </c>
      <c r="B864" s="2">
        <v>2</v>
      </c>
      <c r="C864" s="2" t="s">
        <v>157</v>
      </c>
      <c r="D864" s="3">
        <v>44973</v>
      </c>
      <c r="E864" s="7">
        <v>239</v>
      </c>
      <c r="F864" s="2" t="s">
        <v>12</v>
      </c>
      <c r="G864" s="1">
        <v>28</v>
      </c>
      <c r="H864" s="6">
        <v>211</v>
      </c>
      <c r="I864" s="1">
        <v>55</v>
      </c>
      <c r="J864" s="116" t="str">
        <f t="shared" si="13"/>
        <v>평일</v>
      </c>
    </row>
    <row r="865" spans="1:10" ht="21.75" customHeight="1" x14ac:dyDescent="0.25">
      <c r="A865" s="2">
        <v>2023</v>
      </c>
      <c r="B865" s="2">
        <v>2</v>
      </c>
      <c r="C865" s="2" t="s">
        <v>158</v>
      </c>
      <c r="D865" s="3">
        <v>44974</v>
      </c>
      <c r="E865" s="7">
        <v>273</v>
      </c>
      <c r="F865" s="2" t="s">
        <v>12</v>
      </c>
      <c r="G865" s="1">
        <v>28</v>
      </c>
      <c r="H865" s="6">
        <v>245</v>
      </c>
      <c r="I865" s="1">
        <v>56</v>
      </c>
      <c r="J865" s="116" t="str">
        <f t="shared" si="13"/>
        <v>평일</v>
      </c>
    </row>
    <row r="866" spans="1:10" ht="21.75" customHeight="1" x14ac:dyDescent="0.25">
      <c r="A866" s="2">
        <v>2023</v>
      </c>
      <c r="B866" s="2">
        <v>2</v>
      </c>
      <c r="C866" s="2" t="s">
        <v>159</v>
      </c>
      <c r="D866" s="3">
        <v>44975</v>
      </c>
      <c r="E866" s="7">
        <v>573</v>
      </c>
      <c r="F866" s="2" t="s">
        <v>12</v>
      </c>
      <c r="G866" s="1">
        <v>75</v>
      </c>
      <c r="H866" s="6">
        <v>498</v>
      </c>
      <c r="I866" s="1">
        <v>57</v>
      </c>
      <c r="J866" s="116" t="str">
        <f t="shared" si="13"/>
        <v>주말</v>
      </c>
    </row>
    <row r="867" spans="1:10" ht="21.75" customHeight="1" x14ac:dyDescent="0.25">
      <c r="A867" s="2">
        <v>2023</v>
      </c>
      <c r="B867" s="2">
        <v>2</v>
      </c>
      <c r="C867" s="2" t="s">
        <v>160</v>
      </c>
      <c r="D867" s="3">
        <v>44976</v>
      </c>
      <c r="E867" s="7">
        <v>504</v>
      </c>
      <c r="F867" s="2" t="s">
        <v>12</v>
      </c>
      <c r="G867" s="1">
        <v>94</v>
      </c>
      <c r="H867" s="6">
        <v>410</v>
      </c>
      <c r="I867" s="1">
        <v>58</v>
      </c>
      <c r="J867" s="116" t="str">
        <f t="shared" si="13"/>
        <v>주말</v>
      </c>
    </row>
    <row r="868" spans="1:10" ht="21.75" customHeight="1" x14ac:dyDescent="0.25">
      <c r="A868" s="2">
        <v>2023</v>
      </c>
      <c r="B868" s="2">
        <v>2</v>
      </c>
      <c r="C868" s="2" t="s">
        <v>161</v>
      </c>
      <c r="D868" s="3">
        <v>44977</v>
      </c>
      <c r="E868" s="7">
        <v>224</v>
      </c>
      <c r="F868" s="2" t="s">
        <v>12</v>
      </c>
      <c r="G868" s="1">
        <v>21</v>
      </c>
      <c r="H868" s="6">
        <v>203</v>
      </c>
      <c r="I868" s="1">
        <v>59</v>
      </c>
      <c r="J868" s="116" t="str">
        <f t="shared" si="13"/>
        <v>평일</v>
      </c>
    </row>
    <row r="869" spans="1:10" ht="21.75" customHeight="1" x14ac:dyDescent="0.25">
      <c r="A869" s="2">
        <v>2023</v>
      </c>
      <c r="B869" s="2">
        <v>2</v>
      </c>
      <c r="C869" s="2" t="s">
        <v>162</v>
      </c>
      <c r="D869" s="3">
        <v>44978</v>
      </c>
      <c r="E869" s="7">
        <v>196</v>
      </c>
      <c r="F869" s="2" t="s">
        <v>12</v>
      </c>
      <c r="G869" s="1">
        <v>26</v>
      </c>
      <c r="H869" s="6">
        <v>170</v>
      </c>
      <c r="I869" s="1">
        <v>60</v>
      </c>
      <c r="J869" s="116" t="str">
        <f t="shared" si="13"/>
        <v>평일</v>
      </c>
    </row>
    <row r="870" spans="1:10" ht="21.75" customHeight="1" x14ac:dyDescent="0.25">
      <c r="A870" s="2">
        <v>2023</v>
      </c>
      <c r="B870" s="2">
        <v>2</v>
      </c>
      <c r="C870" s="2" t="s">
        <v>163</v>
      </c>
      <c r="D870" s="3">
        <v>44979</v>
      </c>
      <c r="E870" s="7">
        <v>471</v>
      </c>
      <c r="F870" s="2" t="s">
        <v>12</v>
      </c>
      <c r="G870" s="1">
        <v>33</v>
      </c>
      <c r="H870" s="6">
        <v>438</v>
      </c>
      <c r="I870" s="1">
        <v>61</v>
      </c>
      <c r="J870" s="116" t="str">
        <f t="shared" si="13"/>
        <v>평일</v>
      </c>
    </row>
    <row r="871" spans="1:10" ht="21.75" customHeight="1" x14ac:dyDescent="0.25">
      <c r="A871" s="2">
        <v>2023</v>
      </c>
      <c r="B871" s="2">
        <v>2</v>
      </c>
      <c r="C871" s="2" t="s">
        <v>157</v>
      </c>
      <c r="D871" s="3">
        <v>44980</v>
      </c>
      <c r="E871" s="7">
        <v>228</v>
      </c>
      <c r="F871" s="2" t="s">
        <v>12</v>
      </c>
      <c r="G871" s="1">
        <v>30</v>
      </c>
      <c r="H871" s="6">
        <v>198</v>
      </c>
      <c r="I871" s="1">
        <v>62</v>
      </c>
      <c r="J871" s="116" t="str">
        <f t="shared" si="13"/>
        <v>평일</v>
      </c>
    </row>
    <row r="872" spans="1:10" ht="21.75" customHeight="1" x14ac:dyDescent="0.25">
      <c r="A872" s="2">
        <v>2023</v>
      </c>
      <c r="B872" s="2">
        <v>2</v>
      </c>
      <c r="C872" s="2" t="s">
        <v>158</v>
      </c>
      <c r="D872" s="3">
        <v>44981</v>
      </c>
      <c r="E872" s="7">
        <v>234</v>
      </c>
      <c r="F872" s="2" t="s">
        <v>12</v>
      </c>
      <c r="G872" s="1">
        <v>40</v>
      </c>
      <c r="H872" s="6">
        <v>194</v>
      </c>
      <c r="I872" s="1">
        <v>63</v>
      </c>
      <c r="J872" s="116" t="str">
        <f t="shared" si="13"/>
        <v>평일</v>
      </c>
    </row>
    <row r="873" spans="1:10" ht="21.75" customHeight="1" x14ac:dyDescent="0.25">
      <c r="A873" s="2">
        <v>2023</v>
      </c>
      <c r="B873" s="2">
        <v>2</v>
      </c>
      <c r="C873" s="2" t="s">
        <v>159</v>
      </c>
      <c r="D873" s="3">
        <v>44982</v>
      </c>
      <c r="E873" s="7">
        <v>554</v>
      </c>
      <c r="F873" s="2" t="s">
        <v>12</v>
      </c>
      <c r="G873" s="1">
        <v>89</v>
      </c>
      <c r="H873" s="6">
        <v>465</v>
      </c>
      <c r="I873" s="1">
        <v>64</v>
      </c>
      <c r="J873" s="116" t="str">
        <f t="shared" si="13"/>
        <v>주말</v>
      </c>
    </row>
    <row r="874" spans="1:10" ht="21.75" customHeight="1" x14ac:dyDescent="0.25">
      <c r="A874" s="2">
        <v>2023</v>
      </c>
      <c r="B874" s="2">
        <v>2</v>
      </c>
      <c r="C874" s="2" t="s">
        <v>160</v>
      </c>
      <c r="D874" s="3">
        <v>44983</v>
      </c>
      <c r="E874" s="7">
        <v>465</v>
      </c>
      <c r="F874" s="2" t="s">
        <v>12</v>
      </c>
      <c r="G874" s="1">
        <v>74</v>
      </c>
      <c r="H874" s="6">
        <v>391</v>
      </c>
      <c r="I874" s="1">
        <v>65</v>
      </c>
      <c r="J874" s="116" t="str">
        <f t="shared" si="13"/>
        <v>주말</v>
      </c>
    </row>
    <row r="875" spans="1:10" ht="21.75" customHeight="1" x14ac:dyDescent="0.25">
      <c r="A875" s="2">
        <v>2023</v>
      </c>
      <c r="B875" s="2">
        <v>2</v>
      </c>
      <c r="C875" s="2" t="s">
        <v>161</v>
      </c>
      <c r="D875" s="3">
        <v>44984</v>
      </c>
      <c r="E875" s="7">
        <v>259</v>
      </c>
      <c r="F875" s="2" t="s">
        <v>12</v>
      </c>
      <c r="G875" s="1">
        <v>22</v>
      </c>
      <c r="H875" s="6">
        <v>237</v>
      </c>
      <c r="I875" s="1">
        <v>66</v>
      </c>
      <c r="J875" s="116" t="str">
        <f t="shared" si="13"/>
        <v>평일</v>
      </c>
    </row>
    <row r="876" spans="1:10" ht="21.75" customHeight="1" x14ac:dyDescent="0.25">
      <c r="A876" s="2">
        <v>2023</v>
      </c>
      <c r="B876" s="2">
        <v>2</v>
      </c>
      <c r="C876" s="2" t="s">
        <v>162</v>
      </c>
      <c r="D876" s="3">
        <v>44985</v>
      </c>
      <c r="E876" s="7">
        <v>246</v>
      </c>
      <c r="F876" s="2" t="s">
        <v>12</v>
      </c>
      <c r="G876" s="1">
        <v>40</v>
      </c>
      <c r="H876" s="6">
        <v>206</v>
      </c>
      <c r="I876" s="1">
        <v>67</v>
      </c>
      <c r="J876" s="116" t="str">
        <f t="shared" si="13"/>
        <v>평일</v>
      </c>
    </row>
    <row r="877" spans="1:10" ht="21.75" customHeight="1" x14ac:dyDescent="0.25">
      <c r="A877" s="2">
        <v>2023</v>
      </c>
      <c r="B877" s="2">
        <v>3</v>
      </c>
      <c r="C877" s="2" t="s">
        <v>163</v>
      </c>
      <c r="D877" s="3">
        <v>44986</v>
      </c>
      <c r="E877" s="7">
        <v>526</v>
      </c>
      <c r="F877" s="2" t="s">
        <v>12</v>
      </c>
      <c r="G877" s="1">
        <v>75</v>
      </c>
      <c r="H877" s="6">
        <v>451</v>
      </c>
      <c r="I877" s="1">
        <v>68</v>
      </c>
      <c r="J877" s="116" t="str">
        <f t="shared" si="13"/>
        <v>평일</v>
      </c>
    </row>
    <row r="878" spans="1:10" ht="21.75" customHeight="1" x14ac:dyDescent="0.25">
      <c r="A878" s="2">
        <v>2023</v>
      </c>
      <c r="B878" s="2">
        <v>3</v>
      </c>
      <c r="C878" s="2" t="s">
        <v>157</v>
      </c>
      <c r="D878" s="3">
        <v>44987</v>
      </c>
      <c r="E878" s="7">
        <v>137</v>
      </c>
      <c r="F878" s="2" t="s">
        <v>12</v>
      </c>
      <c r="G878" s="1">
        <v>21</v>
      </c>
      <c r="H878" s="6">
        <v>116</v>
      </c>
      <c r="I878" s="1">
        <v>69</v>
      </c>
      <c r="J878" s="116" t="str">
        <f t="shared" si="13"/>
        <v>평일</v>
      </c>
    </row>
    <row r="879" spans="1:10" ht="21.75" customHeight="1" x14ac:dyDescent="0.25">
      <c r="A879" s="2">
        <v>2023</v>
      </c>
      <c r="B879" s="2">
        <v>3</v>
      </c>
      <c r="C879" s="2" t="s">
        <v>158</v>
      </c>
      <c r="D879" s="3">
        <v>44988</v>
      </c>
      <c r="E879" s="7">
        <v>192</v>
      </c>
      <c r="F879" s="2" t="s">
        <v>12</v>
      </c>
      <c r="G879" s="1">
        <v>35</v>
      </c>
      <c r="H879" s="6">
        <v>157</v>
      </c>
      <c r="I879" s="1">
        <v>70</v>
      </c>
      <c r="J879" s="116" t="str">
        <f t="shared" si="13"/>
        <v>평일</v>
      </c>
    </row>
    <row r="880" spans="1:10" ht="21.75" customHeight="1" x14ac:dyDescent="0.25">
      <c r="A880" s="2">
        <v>2023</v>
      </c>
      <c r="B880" s="2">
        <v>3</v>
      </c>
      <c r="C880" s="2" t="s">
        <v>159</v>
      </c>
      <c r="D880" s="3">
        <v>44989</v>
      </c>
      <c r="E880" s="7">
        <v>460</v>
      </c>
      <c r="F880" s="2" t="s">
        <v>12</v>
      </c>
      <c r="G880" s="1">
        <v>96</v>
      </c>
      <c r="H880" s="6">
        <v>364</v>
      </c>
      <c r="I880" s="1">
        <v>71</v>
      </c>
      <c r="J880" s="116" t="str">
        <f t="shared" si="13"/>
        <v>주말</v>
      </c>
    </row>
    <row r="881" spans="1:10" ht="21.75" customHeight="1" x14ac:dyDescent="0.25">
      <c r="A881" s="2">
        <v>2023</v>
      </c>
      <c r="B881" s="2">
        <v>3</v>
      </c>
      <c r="C881" s="2" t="s">
        <v>160</v>
      </c>
      <c r="D881" s="3">
        <v>44990</v>
      </c>
      <c r="E881" s="7">
        <v>447</v>
      </c>
      <c r="F881" s="2" t="s">
        <v>12</v>
      </c>
      <c r="G881" s="1">
        <v>63</v>
      </c>
      <c r="H881" s="6">
        <v>384</v>
      </c>
      <c r="I881" s="1">
        <v>72</v>
      </c>
      <c r="J881" s="116" t="str">
        <f t="shared" si="13"/>
        <v>주말</v>
      </c>
    </row>
    <row r="882" spans="1:10" ht="21.75" customHeight="1" x14ac:dyDescent="0.25">
      <c r="A882" s="2">
        <v>2023</v>
      </c>
      <c r="B882" s="2">
        <v>3</v>
      </c>
      <c r="C882" s="2" t="s">
        <v>161</v>
      </c>
      <c r="D882" s="3">
        <v>44991</v>
      </c>
      <c r="E882" s="7">
        <v>44</v>
      </c>
      <c r="F882" s="2" t="s">
        <v>12</v>
      </c>
      <c r="G882" s="1">
        <v>44</v>
      </c>
      <c r="H882" s="6">
        <v>0</v>
      </c>
      <c r="I882" s="1">
        <v>73</v>
      </c>
      <c r="J882" s="116" t="str">
        <f t="shared" si="13"/>
        <v>평일</v>
      </c>
    </row>
    <row r="883" spans="1:10" ht="21.75" customHeight="1" x14ac:dyDescent="0.25">
      <c r="A883" s="2">
        <v>2023</v>
      </c>
      <c r="B883" s="2">
        <v>3</v>
      </c>
      <c r="C883" s="2" t="s">
        <v>162</v>
      </c>
      <c r="D883" s="3">
        <v>44992</v>
      </c>
      <c r="E883" s="7">
        <v>130</v>
      </c>
      <c r="F883" s="2" t="s">
        <v>12</v>
      </c>
      <c r="G883" s="1">
        <v>21</v>
      </c>
      <c r="H883" s="6">
        <v>109</v>
      </c>
      <c r="I883" s="1">
        <v>74</v>
      </c>
      <c r="J883" s="116" t="str">
        <f t="shared" si="13"/>
        <v>평일</v>
      </c>
    </row>
    <row r="884" spans="1:10" ht="21.75" customHeight="1" x14ac:dyDescent="0.25">
      <c r="A884" s="2">
        <v>2023</v>
      </c>
      <c r="B884" s="2">
        <v>3</v>
      </c>
      <c r="C884" s="2" t="s">
        <v>163</v>
      </c>
      <c r="D884" s="3">
        <v>44993</v>
      </c>
      <c r="E884" s="7">
        <v>179</v>
      </c>
      <c r="F884" s="2" t="s">
        <v>12</v>
      </c>
      <c r="G884" s="1">
        <v>23</v>
      </c>
      <c r="H884" s="6">
        <v>156</v>
      </c>
      <c r="I884" s="1">
        <v>75</v>
      </c>
      <c r="J884" s="116" t="str">
        <f t="shared" si="13"/>
        <v>평일</v>
      </c>
    </row>
    <row r="885" spans="1:10" ht="21.75" customHeight="1" x14ac:dyDescent="0.25">
      <c r="A885" s="2">
        <v>2023</v>
      </c>
      <c r="B885" s="2">
        <v>3</v>
      </c>
      <c r="C885" s="2" t="s">
        <v>157</v>
      </c>
      <c r="D885" s="3">
        <v>44994</v>
      </c>
      <c r="E885" s="7">
        <v>152</v>
      </c>
      <c r="F885" s="2" t="s">
        <v>12</v>
      </c>
      <c r="G885" s="1">
        <v>43</v>
      </c>
      <c r="H885" s="6">
        <v>109</v>
      </c>
      <c r="I885" s="1">
        <v>76</v>
      </c>
      <c r="J885" s="116" t="str">
        <f t="shared" si="13"/>
        <v>평일</v>
      </c>
    </row>
    <row r="886" spans="1:10" ht="21.75" customHeight="1" x14ac:dyDescent="0.25">
      <c r="A886" s="2">
        <v>2023</v>
      </c>
      <c r="B886" s="2">
        <v>3</v>
      </c>
      <c r="C886" s="2" t="s">
        <v>158</v>
      </c>
      <c r="D886" s="3">
        <v>44995</v>
      </c>
      <c r="E886" s="7">
        <v>213</v>
      </c>
      <c r="F886" s="2" t="s">
        <v>12</v>
      </c>
      <c r="G886" s="1">
        <v>44</v>
      </c>
      <c r="H886" s="6">
        <v>169</v>
      </c>
      <c r="I886" s="1">
        <v>77</v>
      </c>
      <c r="J886" s="116" t="str">
        <f t="shared" si="13"/>
        <v>평일</v>
      </c>
    </row>
    <row r="887" spans="1:10" ht="21.75" customHeight="1" x14ac:dyDescent="0.25">
      <c r="A887" s="2">
        <v>2023</v>
      </c>
      <c r="B887" s="2">
        <v>3</v>
      </c>
      <c r="C887" s="2" t="s">
        <v>159</v>
      </c>
      <c r="D887" s="3">
        <v>44996</v>
      </c>
      <c r="E887" s="7">
        <v>575</v>
      </c>
      <c r="F887" s="2" t="s">
        <v>12</v>
      </c>
      <c r="G887" s="1">
        <v>86</v>
      </c>
      <c r="H887" s="6">
        <v>489</v>
      </c>
      <c r="I887" s="1">
        <v>78</v>
      </c>
      <c r="J887" s="116" t="str">
        <f t="shared" si="13"/>
        <v>주말</v>
      </c>
    </row>
    <row r="888" spans="1:10" ht="21.75" customHeight="1" x14ac:dyDescent="0.25">
      <c r="A888" s="2">
        <v>2023</v>
      </c>
      <c r="B888" s="2">
        <v>3</v>
      </c>
      <c r="C888" s="2" t="s">
        <v>160</v>
      </c>
      <c r="D888" s="3">
        <v>44997</v>
      </c>
      <c r="E888" s="7">
        <v>417</v>
      </c>
      <c r="F888" s="2" t="s">
        <v>12</v>
      </c>
      <c r="G888" s="1">
        <v>90</v>
      </c>
      <c r="H888" s="6">
        <v>327</v>
      </c>
      <c r="I888" s="1">
        <v>79</v>
      </c>
      <c r="J888" s="116" t="str">
        <f t="shared" si="13"/>
        <v>주말</v>
      </c>
    </row>
    <row r="889" spans="1:10" ht="21.75" customHeight="1" x14ac:dyDescent="0.25">
      <c r="A889" s="2">
        <v>2023</v>
      </c>
      <c r="B889" s="2">
        <v>3</v>
      </c>
      <c r="C889" s="2" t="s">
        <v>161</v>
      </c>
      <c r="D889" s="3">
        <v>44998</v>
      </c>
      <c r="E889" s="7">
        <v>164</v>
      </c>
      <c r="F889" s="2" t="s">
        <v>12</v>
      </c>
      <c r="G889" s="1">
        <v>31</v>
      </c>
      <c r="H889" s="6">
        <v>133</v>
      </c>
      <c r="I889" s="1">
        <v>80</v>
      </c>
      <c r="J889" s="116" t="str">
        <f t="shared" si="13"/>
        <v>평일</v>
      </c>
    </row>
    <row r="890" spans="1:10" ht="21.75" customHeight="1" x14ac:dyDescent="0.25">
      <c r="A890" s="2">
        <v>2023</v>
      </c>
      <c r="B890" s="2">
        <v>3</v>
      </c>
      <c r="C890" s="2" t="s">
        <v>162</v>
      </c>
      <c r="D890" s="3">
        <v>44999</v>
      </c>
      <c r="E890" s="7">
        <v>197</v>
      </c>
      <c r="F890" s="2" t="s">
        <v>12</v>
      </c>
      <c r="G890" s="1">
        <v>37</v>
      </c>
      <c r="H890" s="6">
        <v>160</v>
      </c>
      <c r="I890" s="1">
        <v>81</v>
      </c>
      <c r="J890" s="116" t="str">
        <f t="shared" si="13"/>
        <v>평일</v>
      </c>
    </row>
    <row r="891" spans="1:10" ht="21.75" customHeight="1" x14ac:dyDescent="0.25">
      <c r="A891" s="2">
        <v>2023</v>
      </c>
      <c r="B891" s="2">
        <v>3</v>
      </c>
      <c r="C891" s="2" t="s">
        <v>163</v>
      </c>
      <c r="D891" s="3">
        <v>45000</v>
      </c>
      <c r="E891" s="7">
        <v>168</v>
      </c>
      <c r="F891" s="2" t="s">
        <v>12</v>
      </c>
      <c r="G891" s="1">
        <v>39</v>
      </c>
      <c r="H891" s="6">
        <v>129</v>
      </c>
      <c r="I891" s="1">
        <v>82</v>
      </c>
      <c r="J891" s="116" t="str">
        <f t="shared" si="13"/>
        <v>평일</v>
      </c>
    </row>
    <row r="892" spans="1:10" ht="21.75" customHeight="1" x14ac:dyDescent="0.25">
      <c r="A892" s="2">
        <v>2023</v>
      </c>
      <c r="B892" s="2">
        <v>3</v>
      </c>
      <c r="C892" s="2" t="s">
        <v>157</v>
      </c>
      <c r="D892" s="3">
        <v>45001</v>
      </c>
      <c r="E892" s="7">
        <v>185</v>
      </c>
      <c r="F892" s="2" t="s">
        <v>12</v>
      </c>
      <c r="G892" s="1">
        <v>48</v>
      </c>
      <c r="H892" s="6">
        <v>137</v>
      </c>
      <c r="I892" s="1">
        <v>83</v>
      </c>
      <c r="J892" s="116" t="str">
        <f t="shared" si="13"/>
        <v>평일</v>
      </c>
    </row>
    <row r="893" spans="1:10" ht="21.75" customHeight="1" x14ac:dyDescent="0.25">
      <c r="A893" s="2">
        <v>2023</v>
      </c>
      <c r="B893" s="2">
        <v>3</v>
      </c>
      <c r="C893" s="2" t="s">
        <v>158</v>
      </c>
      <c r="D893" s="3">
        <v>45002</v>
      </c>
      <c r="E893" s="7">
        <v>232</v>
      </c>
      <c r="F893" s="2" t="s">
        <v>12</v>
      </c>
      <c r="G893" s="1">
        <v>43</v>
      </c>
      <c r="H893" s="6">
        <v>189</v>
      </c>
      <c r="I893" s="1">
        <v>84</v>
      </c>
      <c r="J893" s="116" t="str">
        <f t="shared" si="13"/>
        <v>평일</v>
      </c>
    </row>
    <row r="894" spans="1:10" ht="21.75" customHeight="1" x14ac:dyDescent="0.25">
      <c r="A894" s="2">
        <v>2023</v>
      </c>
      <c r="B894" s="2">
        <v>3</v>
      </c>
      <c r="C894" s="2" t="s">
        <v>159</v>
      </c>
      <c r="D894" s="3">
        <v>45003</v>
      </c>
      <c r="E894" s="7">
        <v>739</v>
      </c>
      <c r="F894" s="2" t="s">
        <v>12</v>
      </c>
      <c r="G894" s="1">
        <v>155</v>
      </c>
      <c r="H894" s="6">
        <v>584</v>
      </c>
      <c r="I894" s="1">
        <v>85</v>
      </c>
      <c r="J894" s="116" t="str">
        <f t="shared" si="13"/>
        <v>주말</v>
      </c>
    </row>
    <row r="895" spans="1:10" ht="21.75" customHeight="1" x14ac:dyDescent="0.25">
      <c r="A895" s="2">
        <v>2023</v>
      </c>
      <c r="B895" s="2">
        <v>3</v>
      </c>
      <c r="C895" s="2" t="s">
        <v>160</v>
      </c>
      <c r="D895" s="3">
        <v>45004</v>
      </c>
      <c r="E895" s="7">
        <v>587</v>
      </c>
      <c r="F895" s="2" t="s">
        <v>12</v>
      </c>
      <c r="G895" s="1">
        <v>128</v>
      </c>
      <c r="H895" s="6">
        <v>459</v>
      </c>
      <c r="I895" s="1">
        <v>86</v>
      </c>
      <c r="J895" s="116" t="str">
        <f t="shared" si="13"/>
        <v>주말</v>
      </c>
    </row>
    <row r="896" spans="1:10" ht="21.75" customHeight="1" x14ac:dyDescent="0.25">
      <c r="A896" s="2">
        <v>2023</v>
      </c>
      <c r="B896" s="2">
        <v>3</v>
      </c>
      <c r="C896" s="2" t="s">
        <v>161</v>
      </c>
      <c r="D896" s="3">
        <v>45005</v>
      </c>
      <c r="E896" s="7">
        <v>293</v>
      </c>
      <c r="F896" s="2" t="s">
        <v>12</v>
      </c>
      <c r="G896" s="1">
        <v>38</v>
      </c>
      <c r="H896" s="6">
        <v>255</v>
      </c>
      <c r="I896" s="1">
        <v>87</v>
      </c>
      <c r="J896" s="116" t="str">
        <f t="shared" si="13"/>
        <v>평일</v>
      </c>
    </row>
    <row r="897" spans="1:10" ht="21.75" customHeight="1" x14ac:dyDescent="0.25">
      <c r="A897" s="2">
        <v>2023</v>
      </c>
      <c r="B897" s="2">
        <v>3</v>
      </c>
      <c r="C897" s="2" t="s">
        <v>162</v>
      </c>
      <c r="D897" s="3">
        <v>45006</v>
      </c>
      <c r="E897" s="7">
        <v>271</v>
      </c>
      <c r="F897" s="2" t="s">
        <v>12</v>
      </c>
      <c r="G897" s="1">
        <v>90</v>
      </c>
      <c r="H897" s="6">
        <v>181</v>
      </c>
      <c r="I897" s="1">
        <v>88</v>
      </c>
      <c r="J897" s="116" t="str">
        <f t="shared" si="13"/>
        <v>평일</v>
      </c>
    </row>
    <row r="898" spans="1:10" ht="21.75" customHeight="1" x14ac:dyDescent="0.25">
      <c r="A898" s="2">
        <v>2023</v>
      </c>
      <c r="B898" s="2">
        <v>3</v>
      </c>
      <c r="C898" s="2" t="s">
        <v>163</v>
      </c>
      <c r="D898" s="3">
        <v>45007</v>
      </c>
      <c r="E898" s="7">
        <v>280</v>
      </c>
      <c r="F898" s="2" t="s">
        <v>12</v>
      </c>
      <c r="G898" s="1">
        <v>55</v>
      </c>
      <c r="H898" s="6">
        <v>225</v>
      </c>
      <c r="I898" s="1">
        <v>89</v>
      </c>
      <c r="J898" s="116" t="str">
        <f t="shared" si="13"/>
        <v>평일</v>
      </c>
    </row>
    <row r="899" spans="1:10" ht="21.75" customHeight="1" x14ac:dyDescent="0.25">
      <c r="A899" s="2">
        <v>2023</v>
      </c>
      <c r="B899" s="2">
        <v>3</v>
      </c>
      <c r="C899" s="2" t="s">
        <v>157</v>
      </c>
      <c r="D899" s="3">
        <v>45008</v>
      </c>
      <c r="E899" s="7">
        <v>382</v>
      </c>
      <c r="F899" s="2" t="s">
        <v>12</v>
      </c>
      <c r="G899" s="1">
        <v>103</v>
      </c>
      <c r="H899" s="6">
        <v>279</v>
      </c>
      <c r="I899" s="1">
        <v>90</v>
      </c>
      <c r="J899" s="116" t="str">
        <f t="shared" ref="J899:J962" si="14">+IF(OR(C899="토",C899="일"),"주말","평일")</f>
        <v>평일</v>
      </c>
    </row>
    <row r="900" spans="1:10" ht="21.75" customHeight="1" x14ac:dyDescent="0.25">
      <c r="A900" s="2">
        <v>2023</v>
      </c>
      <c r="B900" s="2">
        <v>3</v>
      </c>
      <c r="C900" s="2" t="s">
        <v>158</v>
      </c>
      <c r="D900" s="3">
        <v>45009</v>
      </c>
      <c r="E900" s="7">
        <v>586</v>
      </c>
      <c r="F900" s="2" t="s">
        <v>12</v>
      </c>
      <c r="G900" s="1">
        <v>112</v>
      </c>
      <c r="H900" s="6">
        <v>474</v>
      </c>
      <c r="I900" s="1">
        <v>91</v>
      </c>
      <c r="J900" s="116" t="str">
        <f t="shared" si="14"/>
        <v>평일</v>
      </c>
    </row>
    <row r="901" spans="1:10" ht="21.75" customHeight="1" x14ac:dyDescent="0.25">
      <c r="A901" s="2">
        <v>2023</v>
      </c>
      <c r="B901" s="2">
        <v>3</v>
      </c>
      <c r="C901" s="2" t="s">
        <v>159</v>
      </c>
      <c r="D901" s="3">
        <v>45010</v>
      </c>
      <c r="E901" s="7">
        <v>1007</v>
      </c>
      <c r="F901" s="2" t="s">
        <v>12</v>
      </c>
      <c r="G901" s="1">
        <v>272</v>
      </c>
      <c r="H901" s="6">
        <v>735</v>
      </c>
      <c r="I901" s="1">
        <v>92</v>
      </c>
      <c r="J901" s="116" t="str">
        <f t="shared" si="14"/>
        <v>주말</v>
      </c>
    </row>
    <row r="902" spans="1:10" ht="21.75" customHeight="1" x14ac:dyDescent="0.25">
      <c r="A902" s="2">
        <v>2023</v>
      </c>
      <c r="B902" s="2">
        <v>3</v>
      </c>
      <c r="C902" s="2" t="s">
        <v>160</v>
      </c>
      <c r="D902" s="3">
        <v>45011</v>
      </c>
      <c r="E902" s="7">
        <v>929</v>
      </c>
      <c r="F902" s="2" t="s">
        <v>12</v>
      </c>
      <c r="G902" s="1">
        <v>294</v>
      </c>
      <c r="H902" s="6">
        <v>635</v>
      </c>
      <c r="I902" s="1">
        <v>93</v>
      </c>
      <c r="J902" s="116" t="str">
        <f t="shared" si="14"/>
        <v>주말</v>
      </c>
    </row>
    <row r="903" spans="1:10" ht="21.75" hidden="1" customHeight="1" x14ac:dyDescent="0.25">
      <c r="A903" s="2">
        <v>2023</v>
      </c>
      <c r="B903" s="2">
        <v>3</v>
      </c>
      <c r="C903" s="2" t="s">
        <v>161</v>
      </c>
      <c r="D903" s="3">
        <v>45012</v>
      </c>
      <c r="E903" s="7">
        <v>0</v>
      </c>
      <c r="F903" s="2">
        <v>0</v>
      </c>
      <c r="G903" s="1"/>
      <c r="H903" s="1"/>
      <c r="I903" s="1">
        <v>229</v>
      </c>
      <c r="J903" s="116" t="str">
        <f t="shared" si="14"/>
        <v>평일</v>
      </c>
    </row>
    <row r="904" spans="1:10" ht="21.75" hidden="1" customHeight="1" x14ac:dyDescent="0.25">
      <c r="A904" s="2">
        <v>2023</v>
      </c>
      <c r="B904" s="2">
        <v>3</v>
      </c>
      <c r="C904" s="2" t="s">
        <v>162</v>
      </c>
      <c r="D904" s="3">
        <v>45013</v>
      </c>
      <c r="E904" s="7">
        <v>0</v>
      </c>
      <c r="F904" s="2">
        <v>0</v>
      </c>
      <c r="G904" s="1"/>
      <c r="H904" s="1"/>
      <c r="I904" s="1">
        <v>230</v>
      </c>
      <c r="J904" s="116" t="str">
        <f t="shared" si="14"/>
        <v>평일</v>
      </c>
    </row>
    <row r="905" spans="1:10" ht="21.75" hidden="1" customHeight="1" x14ac:dyDescent="0.25">
      <c r="A905" s="2">
        <v>2023</v>
      </c>
      <c r="B905" s="2">
        <v>3</v>
      </c>
      <c r="C905" s="2" t="s">
        <v>163</v>
      </c>
      <c r="D905" s="3">
        <v>45014</v>
      </c>
      <c r="E905" s="7">
        <v>0</v>
      </c>
      <c r="F905" s="2">
        <v>0</v>
      </c>
      <c r="G905" s="1"/>
      <c r="H905" s="1"/>
      <c r="I905" s="1">
        <v>231</v>
      </c>
      <c r="J905" s="116" t="str">
        <f t="shared" si="14"/>
        <v>평일</v>
      </c>
    </row>
    <row r="906" spans="1:10" ht="21.75" hidden="1" customHeight="1" x14ac:dyDescent="0.25">
      <c r="A906" s="2">
        <v>2023</v>
      </c>
      <c r="B906" s="2">
        <v>3</v>
      </c>
      <c r="C906" s="2" t="s">
        <v>157</v>
      </c>
      <c r="D906" s="3">
        <v>45015</v>
      </c>
      <c r="E906" s="7">
        <v>0</v>
      </c>
      <c r="F906" s="2">
        <v>0</v>
      </c>
      <c r="G906" s="1"/>
      <c r="H906" s="1"/>
      <c r="I906" s="1">
        <v>232</v>
      </c>
      <c r="J906" s="116" t="str">
        <f t="shared" si="14"/>
        <v>평일</v>
      </c>
    </row>
    <row r="907" spans="1:10" ht="21.75" hidden="1" customHeight="1" x14ac:dyDescent="0.25">
      <c r="A907" s="2">
        <v>2023</v>
      </c>
      <c r="B907" s="2">
        <v>3</v>
      </c>
      <c r="C907" s="2" t="s">
        <v>158</v>
      </c>
      <c r="D907" s="3">
        <v>45016</v>
      </c>
      <c r="E907" s="7">
        <v>0</v>
      </c>
      <c r="F907" s="2">
        <v>0</v>
      </c>
      <c r="G907" s="1"/>
      <c r="H907" s="1"/>
      <c r="I907" s="1">
        <v>233</v>
      </c>
      <c r="J907" s="116" t="str">
        <f t="shared" si="14"/>
        <v>평일</v>
      </c>
    </row>
    <row r="908" spans="1:10" ht="21.75" hidden="1" customHeight="1" x14ac:dyDescent="0.25">
      <c r="A908" s="2">
        <v>2023</v>
      </c>
      <c r="B908" s="2">
        <v>4</v>
      </c>
      <c r="C908" s="2" t="s">
        <v>159</v>
      </c>
      <c r="D908" s="3">
        <v>45017</v>
      </c>
      <c r="E908" s="7">
        <v>0</v>
      </c>
      <c r="F908" s="2">
        <v>0</v>
      </c>
      <c r="G908" s="1"/>
      <c r="H908" s="1"/>
      <c r="I908" s="1">
        <v>234</v>
      </c>
      <c r="J908" s="116" t="str">
        <f t="shared" si="14"/>
        <v>주말</v>
      </c>
    </row>
    <row r="909" spans="1:10" ht="21.75" hidden="1" customHeight="1" x14ac:dyDescent="0.25">
      <c r="A909" s="2">
        <v>2023</v>
      </c>
      <c r="B909" s="2">
        <v>4</v>
      </c>
      <c r="C909" s="2" t="s">
        <v>160</v>
      </c>
      <c r="D909" s="3">
        <v>45018</v>
      </c>
      <c r="E909" s="7">
        <v>0</v>
      </c>
      <c r="F909" s="2">
        <v>0</v>
      </c>
      <c r="G909" s="1"/>
      <c r="H909" s="1"/>
      <c r="I909" s="1">
        <v>235</v>
      </c>
      <c r="J909" s="116" t="str">
        <f t="shared" si="14"/>
        <v>주말</v>
      </c>
    </row>
    <row r="910" spans="1:10" ht="21.75" hidden="1" customHeight="1" x14ac:dyDescent="0.25">
      <c r="A910" s="2">
        <v>2023</v>
      </c>
      <c r="B910" s="2">
        <v>4</v>
      </c>
      <c r="C910" s="2" t="s">
        <v>161</v>
      </c>
      <c r="D910" s="3">
        <v>45019</v>
      </c>
      <c r="E910" s="7">
        <v>0</v>
      </c>
      <c r="F910" s="2">
        <v>0</v>
      </c>
      <c r="G910" s="1"/>
      <c r="H910" s="1"/>
      <c r="I910" s="1">
        <v>236</v>
      </c>
      <c r="J910" s="116" t="str">
        <f t="shared" si="14"/>
        <v>평일</v>
      </c>
    </row>
    <row r="911" spans="1:10" ht="21.75" hidden="1" customHeight="1" x14ac:dyDescent="0.25">
      <c r="A911" s="2">
        <v>2023</v>
      </c>
      <c r="B911" s="2">
        <v>4</v>
      </c>
      <c r="C911" s="2" t="s">
        <v>162</v>
      </c>
      <c r="D911" s="3">
        <v>45020</v>
      </c>
      <c r="E911" s="7">
        <v>0</v>
      </c>
      <c r="F911" s="2">
        <v>0</v>
      </c>
      <c r="G911" s="1"/>
      <c r="H911" s="1"/>
      <c r="I911" s="1">
        <v>237</v>
      </c>
      <c r="J911" s="116" t="str">
        <f t="shared" si="14"/>
        <v>평일</v>
      </c>
    </row>
    <row r="912" spans="1:10" ht="21.75" hidden="1" customHeight="1" x14ac:dyDescent="0.25">
      <c r="A912" s="2">
        <v>2023</v>
      </c>
      <c r="B912" s="2">
        <v>4</v>
      </c>
      <c r="C912" s="2" t="s">
        <v>163</v>
      </c>
      <c r="D912" s="3">
        <v>45021</v>
      </c>
      <c r="E912" s="7">
        <v>0</v>
      </c>
      <c r="F912" s="2">
        <v>0</v>
      </c>
      <c r="G912" s="1"/>
      <c r="H912" s="1"/>
      <c r="I912" s="1">
        <v>238</v>
      </c>
      <c r="J912" s="116" t="str">
        <f t="shared" si="14"/>
        <v>평일</v>
      </c>
    </row>
    <row r="913" spans="1:10" ht="21.75" hidden="1" customHeight="1" x14ac:dyDescent="0.25">
      <c r="A913" s="2">
        <v>2023</v>
      </c>
      <c r="B913" s="2">
        <v>4</v>
      </c>
      <c r="C913" s="2" t="s">
        <v>157</v>
      </c>
      <c r="D913" s="3">
        <v>45022</v>
      </c>
      <c r="E913" s="7">
        <v>0</v>
      </c>
      <c r="F913" s="2">
        <v>0</v>
      </c>
      <c r="G913" s="1"/>
      <c r="H913" s="1"/>
      <c r="I913" s="1">
        <v>239</v>
      </c>
      <c r="J913" s="116" t="str">
        <f t="shared" si="14"/>
        <v>평일</v>
      </c>
    </row>
    <row r="914" spans="1:10" ht="21.75" hidden="1" customHeight="1" x14ac:dyDescent="0.25">
      <c r="A914" s="2">
        <v>2023</v>
      </c>
      <c r="B914" s="2">
        <v>4</v>
      </c>
      <c r="C914" s="2" t="s">
        <v>158</v>
      </c>
      <c r="D914" s="3">
        <v>45023</v>
      </c>
      <c r="E914" s="7">
        <v>0</v>
      </c>
      <c r="F914" s="2">
        <v>0</v>
      </c>
      <c r="G914" s="1"/>
      <c r="H914" s="1"/>
      <c r="I914" s="1">
        <v>240</v>
      </c>
      <c r="J914" s="116" t="str">
        <f t="shared" si="14"/>
        <v>평일</v>
      </c>
    </row>
    <row r="915" spans="1:10" ht="21.75" hidden="1" customHeight="1" x14ac:dyDescent="0.25">
      <c r="A915" s="2">
        <v>2023</v>
      </c>
      <c r="B915" s="2">
        <v>4</v>
      </c>
      <c r="C915" s="2" t="s">
        <v>159</v>
      </c>
      <c r="D915" s="3">
        <v>45024</v>
      </c>
      <c r="E915" s="7">
        <v>0</v>
      </c>
      <c r="F915" s="2">
        <v>0</v>
      </c>
      <c r="G915" s="1"/>
      <c r="H915" s="1"/>
      <c r="I915" s="1">
        <v>241</v>
      </c>
      <c r="J915" s="116" t="str">
        <f t="shared" si="14"/>
        <v>주말</v>
      </c>
    </row>
    <row r="916" spans="1:10" ht="21.75" hidden="1" customHeight="1" x14ac:dyDescent="0.25">
      <c r="A916" s="2">
        <v>2023</v>
      </c>
      <c r="B916" s="2">
        <v>4</v>
      </c>
      <c r="C916" s="2" t="s">
        <v>160</v>
      </c>
      <c r="D916" s="3">
        <v>45025</v>
      </c>
      <c r="E916" s="7">
        <v>0</v>
      </c>
      <c r="F916" s="2">
        <v>0</v>
      </c>
      <c r="G916" s="1"/>
      <c r="H916" s="1"/>
      <c r="I916" s="1">
        <v>242</v>
      </c>
      <c r="J916" s="116" t="str">
        <f t="shared" si="14"/>
        <v>주말</v>
      </c>
    </row>
    <row r="917" spans="1:10" ht="21.75" hidden="1" customHeight="1" x14ac:dyDescent="0.25">
      <c r="A917" s="2">
        <v>2023</v>
      </c>
      <c r="B917" s="2">
        <v>4</v>
      </c>
      <c r="C917" s="2" t="s">
        <v>161</v>
      </c>
      <c r="D917" s="3">
        <v>45026</v>
      </c>
      <c r="E917" s="7">
        <v>0</v>
      </c>
      <c r="F917" s="2">
        <v>0</v>
      </c>
      <c r="G917" s="1"/>
      <c r="H917" s="1"/>
      <c r="I917" s="1">
        <v>243</v>
      </c>
      <c r="J917" s="116" t="str">
        <f t="shared" si="14"/>
        <v>평일</v>
      </c>
    </row>
    <row r="918" spans="1:10" ht="21.75" hidden="1" customHeight="1" x14ac:dyDescent="0.25">
      <c r="A918" s="2">
        <v>2023</v>
      </c>
      <c r="B918" s="2">
        <v>4</v>
      </c>
      <c r="C918" s="2" t="s">
        <v>162</v>
      </c>
      <c r="D918" s="3">
        <v>45027</v>
      </c>
      <c r="E918" s="7">
        <v>0</v>
      </c>
      <c r="F918" s="2">
        <v>0</v>
      </c>
      <c r="G918" s="1"/>
      <c r="H918" s="1"/>
      <c r="I918" s="1">
        <v>244</v>
      </c>
      <c r="J918" s="116" t="str">
        <f t="shared" si="14"/>
        <v>평일</v>
      </c>
    </row>
    <row r="919" spans="1:10" ht="21.75" hidden="1" customHeight="1" x14ac:dyDescent="0.25">
      <c r="A919" s="2">
        <v>2023</v>
      </c>
      <c r="B919" s="2">
        <v>4</v>
      </c>
      <c r="C919" s="2" t="s">
        <v>163</v>
      </c>
      <c r="D919" s="3">
        <v>45028</v>
      </c>
      <c r="E919" s="7">
        <v>0</v>
      </c>
      <c r="F919" s="2">
        <v>0</v>
      </c>
      <c r="G919" s="1"/>
      <c r="H919" s="1"/>
      <c r="I919" s="1">
        <v>245</v>
      </c>
      <c r="J919" s="116" t="str">
        <f t="shared" si="14"/>
        <v>평일</v>
      </c>
    </row>
    <row r="920" spans="1:10" ht="21.75" hidden="1" customHeight="1" x14ac:dyDescent="0.25">
      <c r="A920" s="2">
        <v>2023</v>
      </c>
      <c r="B920" s="2">
        <v>4</v>
      </c>
      <c r="C920" s="2" t="s">
        <v>157</v>
      </c>
      <c r="D920" s="3">
        <v>45029</v>
      </c>
      <c r="E920" s="7">
        <v>0</v>
      </c>
      <c r="F920" s="2">
        <v>0</v>
      </c>
      <c r="G920" s="1"/>
      <c r="H920" s="1"/>
      <c r="I920" s="1">
        <v>246</v>
      </c>
      <c r="J920" s="116" t="str">
        <f t="shared" si="14"/>
        <v>평일</v>
      </c>
    </row>
    <row r="921" spans="1:10" ht="21.75" hidden="1" customHeight="1" x14ac:dyDescent="0.25">
      <c r="A921" s="2">
        <v>2023</v>
      </c>
      <c r="B921" s="2">
        <v>4</v>
      </c>
      <c r="C921" s="2" t="s">
        <v>158</v>
      </c>
      <c r="D921" s="3">
        <v>45030</v>
      </c>
      <c r="E921" s="7">
        <v>0</v>
      </c>
      <c r="F921" s="2">
        <v>0</v>
      </c>
      <c r="G921" s="1"/>
      <c r="H921" s="1"/>
      <c r="I921" s="1">
        <v>247</v>
      </c>
      <c r="J921" s="116" t="str">
        <f t="shared" si="14"/>
        <v>평일</v>
      </c>
    </row>
    <row r="922" spans="1:10" ht="21.75" hidden="1" customHeight="1" x14ac:dyDescent="0.25">
      <c r="A922" s="2">
        <v>2023</v>
      </c>
      <c r="B922" s="2">
        <v>4</v>
      </c>
      <c r="C922" s="2" t="s">
        <v>159</v>
      </c>
      <c r="D922" s="3">
        <v>45031</v>
      </c>
      <c r="E922" s="7">
        <v>0</v>
      </c>
      <c r="F922" s="2">
        <v>0</v>
      </c>
      <c r="G922" s="1"/>
      <c r="H922" s="1"/>
      <c r="I922" s="1">
        <v>248</v>
      </c>
      <c r="J922" s="116" t="str">
        <f t="shared" si="14"/>
        <v>주말</v>
      </c>
    </row>
    <row r="923" spans="1:10" ht="21.75" hidden="1" customHeight="1" x14ac:dyDescent="0.25">
      <c r="A923" s="2">
        <v>2023</v>
      </c>
      <c r="B923" s="2">
        <v>4</v>
      </c>
      <c r="C923" s="2" t="s">
        <v>160</v>
      </c>
      <c r="D923" s="3">
        <v>45032</v>
      </c>
      <c r="E923" s="7">
        <v>0</v>
      </c>
      <c r="F923" s="2">
        <v>0</v>
      </c>
      <c r="G923" s="1"/>
      <c r="H923" s="1"/>
      <c r="I923" s="1">
        <v>249</v>
      </c>
      <c r="J923" s="116" t="str">
        <f t="shared" si="14"/>
        <v>주말</v>
      </c>
    </row>
    <row r="924" spans="1:10" ht="21.75" hidden="1" customHeight="1" x14ac:dyDescent="0.25">
      <c r="A924" s="2">
        <v>2023</v>
      </c>
      <c r="B924" s="2">
        <v>4</v>
      </c>
      <c r="C924" s="2" t="s">
        <v>161</v>
      </c>
      <c r="D924" s="3">
        <v>45033</v>
      </c>
      <c r="E924" s="7">
        <v>0</v>
      </c>
      <c r="F924" s="2">
        <v>0</v>
      </c>
      <c r="G924" s="1"/>
      <c r="H924" s="1"/>
      <c r="I924" s="1">
        <v>250</v>
      </c>
      <c r="J924" s="116" t="str">
        <f t="shared" si="14"/>
        <v>평일</v>
      </c>
    </row>
    <row r="925" spans="1:10" ht="21.75" hidden="1" customHeight="1" x14ac:dyDescent="0.25">
      <c r="A925" s="2">
        <v>2023</v>
      </c>
      <c r="B925" s="2">
        <v>4</v>
      </c>
      <c r="C925" s="2" t="s">
        <v>162</v>
      </c>
      <c r="D925" s="3">
        <v>45034</v>
      </c>
      <c r="E925" s="7">
        <v>0</v>
      </c>
      <c r="F925" s="2">
        <v>0</v>
      </c>
      <c r="G925" s="1"/>
      <c r="H925" s="1"/>
      <c r="I925" s="1">
        <v>251</v>
      </c>
      <c r="J925" s="116" t="str">
        <f t="shared" si="14"/>
        <v>평일</v>
      </c>
    </row>
    <row r="926" spans="1:10" ht="21.75" hidden="1" customHeight="1" x14ac:dyDescent="0.25">
      <c r="A926" s="2">
        <v>2023</v>
      </c>
      <c r="B926" s="2">
        <v>4</v>
      </c>
      <c r="C926" s="2" t="s">
        <v>163</v>
      </c>
      <c r="D926" s="3">
        <v>45035</v>
      </c>
      <c r="E926" s="7">
        <v>0</v>
      </c>
      <c r="F926" s="2">
        <v>0</v>
      </c>
      <c r="G926" s="1"/>
      <c r="H926" s="1"/>
      <c r="I926" s="1">
        <v>252</v>
      </c>
      <c r="J926" s="116" t="str">
        <f t="shared" si="14"/>
        <v>평일</v>
      </c>
    </row>
    <row r="927" spans="1:10" ht="21.75" hidden="1" customHeight="1" x14ac:dyDescent="0.25">
      <c r="A927" s="2">
        <v>2023</v>
      </c>
      <c r="B927" s="2">
        <v>4</v>
      </c>
      <c r="C927" s="2" t="s">
        <v>157</v>
      </c>
      <c r="D927" s="3">
        <v>45036</v>
      </c>
      <c r="E927" s="7">
        <v>0</v>
      </c>
      <c r="F927" s="2">
        <v>0</v>
      </c>
      <c r="G927" s="1"/>
      <c r="H927" s="1"/>
      <c r="I927" s="1">
        <v>253</v>
      </c>
      <c r="J927" s="116" t="str">
        <f t="shared" si="14"/>
        <v>평일</v>
      </c>
    </row>
    <row r="928" spans="1:10" ht="21.75" hidden="1" customHeight="1" x14ac:dyDescent="0.25">
      <c r="A928" s="2">
        <v>2023</v>
      </c>
      <c r="B928" s="2">
        <v>4</v>
      </c>
      <c r="C928" s="2" t="s">
        <v>158</v>
      </c>
      <c r="D928" s="3">
        <v>45037</v>
      </c>
      <c r="E928" s="7">
        <v>0</v>
      </c>
      <c r="F928" s="2">
        <v>0</v>
      </c>
      <c r="G928" s="1"/>
      <c r="H928" s="1"/>
      <c r="I928" s="1">
        <v>254</v>
      </c>
      <c r="J928" s="116" t="str">
        <f t="shared" si="14"/>
        <v>평일</v>
      </c>
    </row>
    <row r="929" spans="1:10" ht="21.75" hidden="1" customHeight="1" x14ac:dyDescent="0.25">
      <c r="A929" s="2">
        <v>2023</v>
      </c>
      <c r="B929" s="2">
        <v>4</v>
      </c>
      <c r="C929" s="2" t="s">
        <v>159</v>
      </c>
      <c r="D929" s="3">
        <v>45038</v>
      </c>
      <c r="E929" s="7">
        <v>0</v>
      </c>
      <c r="F929" s="2">
        <v>0</v>
      </c>
      <c r="G929" s="1"/>
      <c r="H929" s="1"/>
      <c r="I929" s="1">
        <v>255</v>
      </c>
      <c r="J929" s="116" t="str">
        <f t="shared" si="14"/>
        <v>주말</v>
      </c>
    </row>
    <row r="930" spans="1:10" ht="21.75" hidden="1" customHeight="1" x14ac:dyDescent="0.25">
      <c r="A930" s="2">
        <v>2023</v>
      </c>
      <c r="B930" s="2">
        <v>4</v>
      </c>
      <c r="C930" s="2" t="s">
        <v>160</v>
      </c>
      <c r="D930" s="3">
        <v>45039</v>
      </c>
      <c r="E930" s="7">
        <v>0</v>
      </c>
      <c r="F930" s="2">
        <v>0</v>
      </c>
      <c r="G930" s="1"/>
      <c r="H930" s="1"/>
      <c r="I930" s="1">
        <v>256</v>
      </c>
      <c r="J930" s="116" t="str">
        <f t="shared" si="14"/>
        <v>주말</v>
      </c>
    </row>
    <row r="931" spans="1:10" ht="21.75" hidden="1" customHeight="1" x14ac:dyDescent="0.25">
      <c r="A931" s="2">
        <v>2023</v>
      </c>
      <c r="B931" s="2">
        <v>4</v>
      </c>
      <c r="C931" s="2" t="s">
        <v>161</v>
      </c>
      <c r="D931" s="3">
        <v>45040</v>
      </c>
      <c r="E931" s="7">
        <v>0</v>
      </c>
      <c r="F931" s="2">
        <v>0</v>
      </c>
      <c r="G931" s="1"/>
      <c r="H931" s="1"/>
      <c r="I931" s="1">
        <v>257</v>
      </c>
      <c r="J931" s="116" t="str">
        <f t="shared" si="14"/>
        <v>평일</v>
      </c>
    </row>
    <row r="932" spans="1:10" ht="21.75" hidden="1" customHeight="1" x14ac:dyDescent="0.25">
      <c r="A932" s="2">
        <v>2023</v>
      </c>
      <c r="B932" s="2">
        <v>4</v>
      </c>
      <c r="C932" s="2" t="s">
        <v>162</v>
      </c>
      <c r="D932" s="3">
        <v>45041</v>
      </c>
      <c r="E932" s="7">
        <v>0</v>
      </c>
      <c r="F932" s="2">
        <v>0</v>
      </c>
      <c r="G932" s="1"/>
      <c r="H932" s="1"/>
      <c r="I932" s="1">
        <v>258</v>
      </c>
      <c r="J932" s="116" t="str">
        <f t="shared" si="14"/>
        <v>평일</v>
      </c>
    </row>
    <row r="933" spans="1:10" ht="21.75" hidden="1" customHeight="1" x14ac:dyDescent="0.25">
      <c r="A933" s="2">
        <v>2023</v>
      </c>
      <c r="B933" s="2">
        <v>4</v>
      </c>
      <c r="C933" s="2" t="s">
        <v>163</v>
      </c>
      <c r="D933" s="3">
        <v>45042</v>
      </c>
      <c r="E933" s="7">
        <v>0</v>
      </c>
      <c r="F933" s="2">
        <v>0</v>
      </c>
      <c r="G933" s="1"/>
      <c r="H933" s="1"/>
      <c r="I933" s="1">
        <v>259</v>
      </c>
      <c r="J933" s="116" t="str">
        <f t="shared" si="14"/>
        <v>평일</v>
      </c>
    </row>
    <row r="934" spans="1:10" ht="21.75" hidden="1" customHeight="1" x14ac:dyDescent="0.25">
      <c r="A934" s="2">
        <v>2023</v>
      </c>
      <c r="B934" s="2">
        <v>4</v>
      </c>
      <c r="C934" s="2" t="s">
        <v>157</v>
      </c>
      <c r="D934" s="3">
        <v>45043</v>
      </c>
      <c r="E934" s="7">
        <v>0</v>
      </c>
      <c r="F934" s="2">
        <v>0</v>
      </c>
      <c r="G934" s="1"/>
      <c r="H934" s="1"/>
      <c r="I934" s="1">
        <v>260</v>
      </c>
      <c r="J934" s="116" t="str">
        <f t="shared" si="14"/>
        <v>평일</v>
      </c>
    </row>
    <row r="935" spans="1:10" ht="21.75" hidden="1" customHeight="1" x14ac:dyDescent="0.25">
      <c r="A935" s="2">
        <v>2023</v>
      </c>
      <c r="B935" s="2">
        <v>4</v>
      </c>
      <c r="C935" s="2" t="s">
        <v>158</v>
      </c>
      <c r="D935" s="3">
        <v>45044</v>
      </c>
      <c r="E935" s="7">
        <v>0</v>
      </c>
      <c r="F935" s="2">
        <v>0</v>
      </c>
      <c r="G935" s="1"/>
      <c r="H935" s="1"/>
      <c r="I935" s="1">
        <v>261</v>
      </c>
      <c r="J935" s="116" t="str">
        <f t="shared" si="14"/>
        <v>평일</v>
      </c>
    </row>
    <row r="936" spans="1:10" ht="21.75" hidden="1" customHeight="1" x14ac:dyDescent="0.25">
      <c r="A936" s="2">
        <v>2023</v>
      </c>
      <c r="B936" s="2">
        <v>4</v>
      </c>
      <c r="C936" s="2" t="s">
        <v>159</v>
      </c>
      <c r="D936" s="3">
        <v>45045</v>
      </c>
      <c r="E936" s="7">
        <v>0</v>
      </c>
      <c r="F936" s="2">
        <v>0</v>
      </c>
      <c r="G936" s="1"/>
      <c r="H936" s="1"/>
      <c r="I936" s="1">
        <v>262</v>
      </c>
      <c r="J936" s="116" t="str">
        <f t="shared" si="14"/>
        <v>주말</v>
      </c>
    </row>
    <row r="937" spans="1:10" ht="21.75" hidden="1" customHeight="1" x14ac:dyDescent="0.25">
      <c r="A937" s="2">
        <v>2023</v>
      </c>
      <c r="B937" s="2">
        <v>4</v>
      </c>
      <c r="C937" s="2" t="s">
        <v>160</v>
      </c>
      <c r="D937" s="3">
        <v>45046</v>
      </c>
      <c r="E937" s="7">
        <v>0</v>
      </c>
      <c r="F937" s="2">
        <v>0</v>
      </c>
      <c r="G937" s="1"/>
      <c r="H937" s="1"/>
      <c r="I937" s="1">
        <v>263</v>
      </c>
      <c r="J937" s="116" t="str">
        <f t="shared" si="14"/>
        <v>주말</v>
      </c>
    </row>
    <row r="938" spans="1:10" ht="21.75" hidden="1" customHeight="1" x14ac:dyDescent="0.25">
      <c r="A938" s="2">
        <v>2023</v>
      </c>
      <c r="B938" s="2">
        <v>5</v>
      </c>
      <c r="C938" s="2" t="s">
        <v>161</v>
      </c>
      <c r="D938" s="3">
        <v>45047</v>
      </c>
      <c r="E938" s="7">
        <v>0</v>
      </c>
      <c r="F938" s="2">
        <v>0</v>
      </c>
      <c r="G938" s="1"/>
      <c r="H938" s="1"/>
      <c r="I938" s="1">
        <v>264</v>
      </c>
      <c r="J938" s="116" t="str">
        <f t="shared" si="14"/>
        <v>평일</v>
      </c>
    </row>
    <row r="939" spans="1:10" ht="21.75" hidden="1" customHeight="1" x14ac:dyDescent="0.25">
      <c r="A939" s="2">
        <v>2023</v>
      </c>
      <c r="B939" s="2">
        <v>5</v>
      </c>
      <c r="C939" s="2" t="s">
        <v>162</v>
      </c>
      <c r="D939" s="3">
        <v>45048</v>
      </c>
      <c r="E939" s="7">
        <v>0</v>
      </c>
      <c r="F939" s="2">
        <v>0</v>
      </c>
      <c r="G939" s="1"/>
      <c r="H939" s="1"/>
      <c r="I939" s="1">
        <v>265</v>
      </c>
      <c r="J939" s="116" t="str">
        <f t="shared" si="14"/>
        <v>평일</v>
      </c>
    </row>
    <row r="940" spans="1:10" ht="21.75" customHeight="1" x14ac:dyDescent="0.25">
      <c r="A940" s="2">
        <v>2023</v>
      </c>
      <c r="B940" s="2">
        <v>5</v>
      </c>
      <c r="C940" s="2" t="s">
        <v>163</v>
      </c>
      <c r="D940" s="3">
        <v>45049</v>
      </c>
      <c r="E940" s="7">
        <v>106</v>
      </c>
      <c r="F940" s="2" t="s">
        <v>13</v>
      </c>
      <c r="G940" s="1">
        <v>18</v>
      </c>
      <c r="H940" s="6">
        <v>88</v>
      </c>
      <c r="I940" s="1">
        <v>1</v>
      </c>
      <c r="J940" s="116" t="str">
        <f t="shared" si="14"/>
        <v>평일</v>
      </c>
    </row>
    <row r="941" spans="1:10" ht="21.75" customHeight="1" x14ac:dyDescent="0.25">
      <c r="A941" s="2">
        <v>2023</v>
      </c>
      <c r="B941" s="2">
        <v>5</v>
      </c>
      <c r="C941" s="2" t="s">
        <v>157</v>
      </c>
      <c r="D941" s="3">
        <v>45050</v>
      </c>
      <c r="E941" s="7">
        <v>107</v>
      </c>
      <c r="F941" s="2" t="s">
        <v>13</v>
      </c>
      <c r="G941" s="1">
        <v>8</v>
      </c>
      <c r="H941" s="6">
        <v>99</v>
      </c>
      <c r="I941" s="1">
        <v>2</v>
      </c>
      <c r="J941" s="116" t="str">
        <f t="shared" si="14"/>
        <v>평일</v>
      </c>
    </row>
    <row r="942" spans="1:10" ht="21.75" customHeight="1" x14ac:dyDescent="0.25">
      <c r="A942" s="2">
        <v>2023</v>
      </c>
      <c r="B942" s="2">
        <v>5</v>
      </c>
      <c r="C942" s="2" t="s">
        <v>158</v>
      </c>
      <c r="D942" s="3">
        <v>45051</v>
      </c>
      <c r="E942" s="7">
        <v>287</v>
      </c>
      <c r="F942" s="2" t="s">
        <v>13</v>
      </c>
      <c r="G942" s="1">
        <v>38</v>
      </c>
      <c r="H942" s="6">
        <v>249</v>
      </c>
      <c r="I942" s="1">
        <v>3</v>
      </c>
      <c r="J942" s="116" t="str">
        <f t="shared" si="14"/>
        <v>평일</v>
      </c>
    </row>
    <row r="943" spans="1:10" ht="21.75" customHeight="1" x14ac:dyDescent="0.25">
      <c r="A943" s="2">
        <v>2023</v>
      </c>
      <c r="B943" s="2">
        <v>5</v>
      </c>
      <c r="C943" s="2" t="s">
        <v>159</v>
      </c>
      <c r="D943" s="3">
        <v>45052</v>
      </c>
      <c r="E943" s="7">
        <v>205</v>
      </c>
      <c r="F943" s="2" t="s">
        <v>13</v>
      </c>
      <c r="G943" s="1">
        <v>16</v>
      </c>
      <c r="H943" s="6">
        <v>189</v>
      </c>
      <c r="I943" s="1">
        <v>4</v>
      </c>
      <c r="J943" s="116" t="str">
        <f t="shared" si="14"/>
        <v>주말</v>
      </c>
    </row>
    <row r="944" spans="1:10" ht="21.75" customHeight="1" x14ac:dyDescent="0.25">
      <c r="A944" s="2">
        <v>2023</v>
      </c>
      <c r="B944" s="2">
        <v>5</v>
      </c>
      <c r="C944" s="2" t="s">
        <v>160</v>
      </c>
      <c r="D944" s="3">
        <v>45053</v>
      </c>
      <c r="E944" s="7">
        <v>115</v>
      </c>
      <c r="F944" s="2" t="s">
        <v>13</v>
      </c>
      <c r="G944" s="1">
        <v>14</v>
      </c>
      <c r="H944" s="6">
        <v>101</v>
      </c>
      <c r="I944" s="1">
        <v>5</v>
      </c>
      <c r="J944" s="116" t="str">
        <f t="shared" si="14"/>
        <v>주말</v>
      </c>
    </row>
    <row r="945" spans="1:10" ht="21.75" customHeight="1" x14ac:dyDescent="0.25">
      <c r="A945" s="2">
        <v>2023</v>
      </c>
      <c r="B945" s="2">
        <v>5</v>
      </c>
      <c r="C945" s="2" t="s">
        <v>161</v>
      </c>
      <c r="D945" s="3">
        <v>45054</v>
      </c>
      <c r="E945" s="7">
        <v>64</v>
      </c>
      <c r="F945" s="2" t="s">
        <v>13</v>
      </c>
      <c r="G945" s="1">
        <v>11</v>
      </c>
      <c r="H945" s="6">
        <v>53</v>
      </c>
      <c r="I945" s="1">
        <v>6</v>
      </c>
      <c r="J945" s="116" t="str">
        <f t="shared" si="14"/>
        <v>평일</v>
      </c>
    </row>
    <row r="946" spans="1:10" ht="21.75" customHeight="1" x14ac:dyDescent="0.25">
      <c r="A946" s="2">
        <v>2023</v>
      </c>
      <c r="B946" s="2">
        <v>5</v>
      </c>
      <c r="C946" s="2" t="s">
        <v>162</v>
      </c>
      <c r="D946" s="3">
        <v>45055</v>
      </c>
      <c r="E946" s="7">
        <v>106</v>
      </c>
      <c r="F946" s="2" t="s">
        <v>13</v>
      </c>
      <c r="G946" s="1">
        <v>7</v>
      </c>
      <c r="H946" s="6">
        <v>99</v>
      </c>
      <c r="I946" s="1">
        <v>7</v>
      </c>
      <c r="J946" s="116" t="str">
        <f t="shared" si="14"/>
        <v>평일</v>
      </c>
    </row>
    <row r="947" spans="1:10" ht="21.75" customHeight="1" x14ac:dyDescent="0.25">
      <c r="A947" s="2">
        <v>2023</v>
      </c>
      <c r="B947" s="2">
        <v>5</v>
      </c>
      <c r="C947" s="2" t="s">
        <v>163</v>
      </c>
      <c r="D947" s="3">
        <v>45056</v>
      </c>
      <c r="E947" s="7">
        <v>54</v>
      </c>
      <c r="F947" s="2" t="s">
        <v>13</v>
      </c>
      <c r="G947" s="1">
        <v>13</v>
      </c>
      <c r="H947" s="6">
        <v>41</v>
      </c>
      <c r="I947" s="1">
        <v>8</v>
      </c>
      <c r="J947" s="116" t="str">
        <f t="shared" si="14"/>
        <v>평일</v>
      </c>
    </row>
    <row r="948" spans="1:10" ht="21.75" customHeight="1" x14ac:dyDescent="0.25">
      <c r="A948" s="2">
        <v>2023</v>
      </c>
      <c r="B948" s="2">
        <v>5</v>
      </c>
      <c r="C948" s="2" t="s">
        <v>157</v>
      </c>
      <c r="D948" s="3">
        <v>45057</v>
      </c>
      <c r="E948" s="7">
        <v>96</v>
      </c>
      <c r="F948" s="2" t="s">
        <v>13</v>
      </c>
      <c r="G948" s="1">
        <v>19</v>
      </c>
      <c r="H948" s="6">
        <v>77</v>
      </c>
      <c r="I948" s="1">
        <v>9</v>
      </c>
      <c r="J948" s="116" t="str">
        <f t="shared" si="14"/>
        <v>평일</v>
      </c>
    </row>
    <row r="949" spans="1:10" ht="21.75" customHeight="1" x14ac:dyDescent="0.25">
      <c r="A949" s="2">
        <v>2023</v>
      </c>
      <c r="B949" s="2">
        <v>5</v>
      </c>
      <c r="C949" s="2" t="s">
        <v>158</v>
      </c>
      <c r="D949" s="3">
        <v>45058</v>
      </c>
      <c r="E949" s="7">
        <v>101</v>
      </c>
      <c r="F949" s="2" t="s">
        <v>13</v>
      </c>
      <c r="G949" s="1">
        <v>14</v>
      </c>
      <c r="H949" s="6">
        <v>87</v>
      </c>
      <c r="I949" s="1">
        <v>10</v>
      </c>
      <c r="J949" s="116" t="str">
        <f t="shared" si="14"/>
        <v>평일</v>
      </c>
    </row>
    <row r="950" spans="1:10" ht="21.75" customHeight="1" x14ac:dyDescent="0.25">
      <c r="A950" s="2">
        <v>2023</v>
      </c>
      <c r="B950" s="2">
        <v>5</v>
      </c>
      <c r="C950" s="2" t="s">
        <v>159</v>
      </c>
      <c r="D950" s="3">
        <v>45059</v>
      </c>
      <c r="E950" s="7">
        <v>282</v>
      </c>
      <c r="F950" s="2" t="s">
        <v>13</v>
      </c>
      <c r="G950" s="1">
        <v>29</v>
      </c>
      <c r="H950" s="6">
        <v>253</v>
      </c>
      <c r="I950" s="1">
        <v>11</v>
      </c>
      <c r="J950" s="116" t="str">
        <f t="shared" si="14"/>
        <v>주말</v>
      </c>
    </row>
    <row r="951" spans="1:10" ht="21.75" customHeight="1" x14ac:dyDescent="0.25">
      <c r="A951" s="2">
        <v>2023</v>
      </c>
      <c r="B951" s="2">
        <v>5</v>
      </c>
      <c r="C951" s="2" t="s">
        <v>160</v>
      </c>
      <c r="D951" s="3">
        <v>45060</v>
      </c>
      <c r="E951" s="7">
        <v>173</v>
      </c>
      <c r="F951" s="2" t="s">
        <v>13</v>
      </c>
      <c r="G951" s="1">
        <v>27</v>
      </c>
      <c r="H951" s="6">
        <v>146</v>
      </c>
      <c r="I951" s="1">
        <v>12</v>
      </c>
      <c r="J951" s="116" t="str">
        <f t="shared" si="14"/>
        <v>주말</v>
      </c>
    </row>
    <row r="952" spans="1:10" ht="21.75" customHeight="1" x14ac:dyDescent="0.25">
      <c r="A952" s="2">
        <v>2023</v>
      </c>
      <c r="B952" s="2">
        <v>5</v>
      </c>
      <c r="C952" s="2" t="s">
        <v>161</v>
      </c>
      <c r="D952" s="3">
        <v>45061</v>
      </c>
      <c r="E952" s="7">
        <v>85</v>
      </c>
      <c r="F952" s="2" t="s">
        <v>13</v>
      </c>
      <c r="G952" s="1">
        <v>5</v>
      </c>
      <c r="H952" s="6">
        <v>80</v>
      </c>
      <c r="I952" s="1">
        <v>13</v>
      </c>
      <c r="J952" s="116" t="str">
        <f t="shared" si="14"/>
        <v>평일</v>
      </c>
    </row>
    <row r="953" spans="1:10" ht="21.75" customHeight="1" x14ac:dyDescent="0.25">
      <c r="A953" s="2">
        <v>2023</v>
      </c>
      <c r="B953" s="2">
        <v>5</v>
      </c>
      <c r="C953" s="2" t="s">
        <v>162</v>
      </c>
      <c r="D953" s="3">
        <v>45062</v>
      </c>
      <c r="E953" s="7">
        <v>84</v>
      </c>
      <c r="F953" s="2" t="s">
        <v>13</v>
      </c>
      <c r="G953" s="1">
        <v>8</v>
      </c>
      <c r="H953" s="6">
        <v>76</v>
      </c>
      <c r="I953" s="1">
        <v>14</v>
      </c>
      <c r="J953" s="116" t="str">
        <f t="shared" si="14"/>
        <v>평일</v>
      </c>
    </row>
    <row r="954" spans="1:10" ht="21.75" customHeight="1" x14ac:dyDescent="0.25">
      <c r="A954" s="2">
        <v>2023</v>
      </c>
      <c r="B954" s="2">
        <v>5</v>
      </c>
      <c r="C954" s="2" t="s">
        <v>163</v>
      </c>
      <c r="D954" s="3">
        <v>45063</v>
      </c>
      <c r="E954" s="7">
        <v>111</v>
      </c>
      <c r="F954" s="2" t="s">
        <v>13</v>
      </c>
      <c r="G954" s="1">
        <v>16</v>
      </c>
      <c r="H954" s="6">
        <v>95</v>
      </c>
      <c r="I954" s="1">
        <v>15</v>
      </c>
      <c r="J954" s="116" t="str">
        <f t="shared" si="14"/>
        <v>평일</v>
      </c>
    </row>
    <row r="955" spans="1:10" ht="21.75" customHeight="1" x14ac:dyDescent="0.25">
      <c r="A955" s="2">
        <v>2023</v>
      </c>
      <c r="B955" s="2">
        <v>5</v>
      </c>
      <c r="C955" s="2" t="s">
        <v>157</v>
      </c>
      <c r="D955" s="3">
        <v>45064</v>
      </c>
      <c r="E955" s="7">
        <v>107</v>
      </c>
      <c r="F955" s="2" t="s">
        <v>13</v>
      </c>
      <c r="G955" s="1">
        <v>21</v>
      </c>
      <c r="H955" s="6">
        <v>86</v>
      </c>
      <c r="I955" s="1">
        <v>16</v>
      </c>
      <c r="J955" s="116" t="str">
        <f t="shared" si="14"/>
        <v>평일</v>
      </c>
    </row>
    <row r="956" spans="1:10" ht="21.75" customHeight="1" x14ac:dyDescent="0.25">
      <c r="A956" s="2">
        <v>2023</v>
      </c>
      <c r="B956" s="2">
        <v>5</v>
      </c>
      <c r="C956" s="2" t="s">
        <v>158</v>
      </c>
      <c r="D956" s="3">
        <v>45065</v>
      </c>
      <c r="E956" s="7">
        <v>134</v>
      </c>
      <c r="F956" s="2" t="s">
        <v>13</v>
      </c>
      <c r="G956" s="1">
        <v>26</v>
      </c>
      <c r="H956" s="6">
        <v>108</v>
      </c>
      <c r="I956" s="1">
        <v>17</v>
      </c>
      <c r="J956" s="116" t="str">
        <f t="shared" si="14"/>
        <v>평일</v>
      </c>
    </row>
    <row r="957" spans="1:10" ht="21.75" customHeight="1" x14ac:dyDescent="0.25">
      <c r="A957" s="2">
        <v>2023</v>
      </c>
      <c r="B957" s="2">
        <v>5</v>
      </c>
      <c r="C957" s="2" t="s">
        <v>159</v>
      </c>
      <c r="D957" s="3">
        <v>45066</v>
      </c>
      <c r="E957" s="7">
        <v>213</v>
      </c>
      <c r="F957" s="2" t="s">
        <v>13</v>
      </c>
      <c r="G957" s="1">
        <v>41</v>
      </c>
      <c r="H957" s="6">
        <v>172</v>
      </c>
      <c r="I957" s="1">
        <v>18</v>
      </c>
      <c r="J957" s="116" t="str">
        <f t="shared" si="14"/>
        <v>주말</v>
      </c>
    </row>
    <row r="958" spans="1:10" ht="21.75" customHeight="1" x14ac:dyDescent="0.25">
      <c r="A958" s="2">
        <v>2023</v>
      </c>
      <c r="B958" s="2">
        <v>5</v>
      </c>
      <c r="C958" s="2" t="s">
        <v>160</v>
      </c>
      <c r="D958" s="3">
        <v>45067</v>
      </c>
      <c r="E958" s="7">
        <v>184</v>
      </c>
      <c r="F958" s="2" t="s">
        <v>13</v>
      </c>
      <c r="G958" s="1">
        <v>34</v>
      </c>
      <c r="H958" s="6">
        <v>150</v>
      </c>
      <c r="I958" s="1">
        <v>19</v>
      </c>
      <c r="J958" s="116" t="str">
        <f t="shared" si="14"/>
        <v>주말</v>
      </c>
    </row>
    <row r="959" spans="1:10" ht="21.75" customHeight="1" x14ac:dyDescent="0.25">
      <c r="A959" s="2">
        <v>2023</v>
      </c>
      <c r="B959" s="2">
        <v>5</v>
      </c>
      <c r="C959" s="2" t="s">
        <v>161</v>
      </c>
      <c r="D959" s="3">
        <v>45068</v>
      </c>
      <c r="E959" s="7">
        <v>59</v>
      </c>
      <c r="F959" s="2" t="s">
        <v>13</v>
      </c>
      <c r="G959" s="1">
        <v>59</v>
      </c>
      <c r="H959" s="6">
        <v>0</v>
      </c>
      <c r="I959" s="1">
        <v>20</v>
      </c>
      <c r="J959" s="116" t="str">
        <f t="shared" si="14"/>
        <v>평일</v>
      </c>
    </row>
    <row r="960" spans="1:10" ht="21.75" customHeight="1" x14ac:dyDescent="0.25">
      <c r="A960" s="2">
        <v>2023</v>
      </c>
      <c r="B960" s="2">
        <v>5</v>
      </c>
      <c r="C960" s="2" t="s">
        <v>162</v>
      </c>
      <c r="D960" s="3">
        <v>45069</v>
      </c>
      <c r="E960" s="7">
        <v>100</v>
      </c>
      <c r="F960" s="2" t="s">
        <v>13</v>
      </c>
      <c r="G960" s="1">
        <v>28</v>
      </c>
      <c r="H960" s="6">
        <v>72</v>
      </c>
      <c r="I960" s="1">
        <v>21</v>
      </c>
      <c r="J960" s="116" t="str">
        <f t="shared" si="14"/>
        <v>평일</v>
      </c>
    </row>
    <row r="961" spans="1:10" ht="21.75" customHeight="1" x14ac:dyDescent="0.25">
      <c r="A961" s="2">
        <v>2023</v>
      </c>
      <c r="B961" s="2">
        <v>5</v>
      </c>
      <c r="C961" s="2" t="s">
        <v>163</v>
      </c>
      <c r="D961" s="3">
        <v>45070</v>
      </c>
      <c r="E961" s="7">
        <v>73</v>
      </c>
      <c r="F961" s="2" t="s">
        <v>13</v>
      </c>
      <c r="G961" s="1">
        <v>18</v>
      </c>
      <c r="H961" s="6">
        <v>55</v>
      </c>
      <c r="I961" s="1">
        <v>22</v>
      </c>
      <c r="J961" s="116" t="str">
        <f t="shared" si="14"/>
        <v>평일</v>
      </c>
    </row>
    <row r="962" spans="1:10" ht="21.75" customHeight="1" x14ac:dyDescent="0.25">
      <c r="A962" s="2">
        <v>2023</v>
      </c>
      <c r="B962" s="2">
        <v>5</v>
      </c>
      <c r="C962" s="2" t="s">
        <v>157</v>
      </c>
      <c r="D962" s="3">
        <v>45071</v>
      </c>
      <c r="E962" s="7">
        <v>97</v>
      </c>
      <c r="F962" s="2" t="s">
        <v>13</v>
      </c>
      <c r="G962" s="1">
        <v>14</v>
      </c>
      <c r="H962" s="6">
        <v>83</v>
      </c>
      <c r="I962" s="1">
        <v>23</v>
      </c>
      <c r="J962" s="116" t="str">
        <f t="shared" si="14"/>
        <v>평일</v>
      </c>
    </row>
    <row r="963" spans="1:10" ht="21.75" customHeight="1" x14ac:dyDescent="0.25">
      <c r="A963" s="2">
        <v>2023</v>
      </c>
      <c r="B963" s="2">
        <v>5</v>
      </c>
      <c r="C963" s="2" t="s">
        <v>158</v>
      </c>
      <c r="D963" s="3">
        <v>45072</v>
      </c>
      <c r="E963" s="7">
        <v>112</v>
      </c>
      <c r="F963" s="2" t="s">
        <v>13</v>
      </c>
      <c r="G963" s="1">
        <v>25</v>
      </c>
      <c r="H963" s="6">
        <v>87</v>
      </c>
      <c r="I963" s="1">
        <v>24</v>
      </c>
      <c r="J963" s="116" t="str">
        <f t="shared" ref="J963:J1026" si="15">+IF(OR(C963="토",C963="일"),"주말","평일")</f>
        <v>평일</v>
      </c>
    </row>
    <row r="964" spans="1:10" ht="21.75" customHeight="1" x14ac:dyDescent="0.25">
      <c r="A964" s="2">
        <v>2023</v>
      </c>
      <c r="B964" s="2">
        <v>5</v>
      </c>
      <c r="C964" s="2" t="s">
        <v>159</v>
      </c>
      <c r="D964" s="3">
        <v>45073</v>
      </c>
      <c r="E964" s="7">
        <v>266</v>
      </c>
      <c r="F964" s="2" t="s">
        <v>13</v>
      </c>
      <c r="G964" s="1">
        <v>54</v>
      </c>
      <c r="H964" s="6">
        <v>212</v>
      </c>
      <c r="I964" s="1">
        <v>25</v>
      </c>
      <c r="J964" s="116" t="str">
        <f t="shared" si="15"/>
        <v>주말</v>
      </c>
    </row>
    <row r="965" spans="1:10" ht="21.75" customHeight="1" x14ac:dyDescent="0.25">
      <c r="A965" s="2">
        <v>2023</v>
      </c>
      <c r="B965" s="2">
        <v>5</v>
      </c>
      <c r="C965" s="2" t="s">
        <v>160</v>
      </c>
      <c r="D965" s="3">
        <v>45074</v>
      </c>
      <c r="E965" s="7">
        <v>204</v>
      </c>
      <c r="F965" s="2" t="s">
        <v>13</v>
      </c>
      <c r="G965" s="1">
        <v>45</v>
      </c>
      <c r="H965" s="6">
        <v>159</v>
      </c>
      <c r="I965" s="1">
        <v>26</v>
      </c>
      <c r="J965" s="116" t="str">
        <f t="shared" si="15"/>
        <v>주말</v>
      </c>
    </row>
    <row r="966" spans="1:10" ht="21.75" customHeight="1" x14ac:dyDescent="0.25">
      <c r="A966" s="2">
        <v>2023</v>
      </c>
      <c r="B966" s="2">
        <v>5</v>
      </c>
      <c r="C966" s="2" t="s">
        <v>161</v>
      </c>
      <c r="D966" s="3">
        <v>45075</v>
      </c>
      <c r="E966" s="7">
        <v>200</v>
      </c>
      <c r="F966" s="2" t="s">
        <v>13</v>
      </c>
      <c r="G966" s="1">
        <v>40</v>
      </c>
      <c r="H966" s="6">
        <v>160</v>
      </c>
      <c r="I966" s="1">
        <v>27</v>
      </c>
      <c r="J966" s="116" t="str">
        <f t="shared" si="15"/>
        <v>평일</v>
      </c>
    </row>
    <row r="967" spans="1:10" ht="21.75" customHeight="1" x14ac:dyDescent="0.25">
      <c r="A967" s="2">
        <v>2023</v>
      </c>
      <c r="B967" s="2">
        <v>5</v>
      </c>
      <c r="C967" s="2" t="s">
        <v>162</v>
      </c>
      <c r="D967" s="3">
        <v>45076</v>
      </c>
      <c r="E967" s="7">
        <v>68</v>
      </c>
      <c r="F967" s="2" t="s">
        <v>13</v>
      </c>
      <c r="G967" s="1">
        <v>17</v>
      </c>
      <c r="H967" s="6">
        <v>51</v>
      </c>
      <c r="I967" s="1">
        <v>28</v>
      </c>
      <c r="J967" s="116" t="str">
        <f t="shared" si="15"/>
        <v>평일</v>
      </c>
    </row>
    <row r="968" spans="1:10" ht="21.75" customHeight="1" x14ac:dyDescent="0.25">
      <c r="A968" s="2">
        <v>2023</v>
      </c>
      <c r="B968" s="2">
        <v>5</v>
      </c>
      <c r="C968" s="2" t="s">
        <v>163</v>
      </c>
      <c r="D968" s="3">
        <v>45077</v>
      </c>
      <c r="E968" s="7">
        <v>128</v>
      </c>
      <c r="F968" s="2" t="s">
        <v>13</v>
      </c>
      <c r="G968" s="1">
        <v>9</v>
      </c>
      <c r="H968" s="6">
        <v>119</v>
      </c>
      <c r="I968" s="1">
        <v>29</v>
      </c>
      <c r="J968" s="116" t="str">
        <f t="shared" si="15"/>
        <v>평일</v>
      </c>
    </row>
    <row r="969" spans="1:10" ht="21.75" customHeight="1" x14ac:dyDescent="0.25">
      <c r="A969" s="2">
        <v>2023</v>
      </c>
      <c r="B969" s="2">
        <v>6</v>
      </c>
      <c r="C969" s="2" t="s">
        <v>157</v>
      </c>
      <c r="D969" s="3">
        <v>45078</v>
      </c>
      <c r="E969" s="7">
        <v>54</v>
      </c>
      <c r="F969" s="2" t="s">
        <v>13</v>
      </c>
      <c r="G969" s="1">
        <v>7</v>
      </c>
      <c r="H969" s="6">
        <v>47</v>
      </c>
      <c r="I969" s="1">
        <v>30</v>
      </c>
      <c r="J969" s="116" t="str">
        <f t="shared" si="15"/>
        <v>평일</v>
      </c>
    </row>
    <row r="970" spans="1:10" ht="21.75" customHeight="1" x14ac:dyDescent="0.25">
      <c r="A970" s="2">
        <v>2023</v>
      </c>
      <c r="B970" s="2">
        <v>6</v>
      </c>
      <c r="C970" s="2" t="s">
        <v>158</v>
      </c>
      <c r="D970" s="3">
        <v>45079</v>
      </c>
      <c r="E970" s="7">
        <v>122</v>
      </c>
      <c r="F970" s="2" t="s">
        <v>13</v>
      </c>
      <c r="G970" s="1">
        <v>20</v>
      </c>
      <c r="H970" s="6">
        <v>102</v>
      </c>
      <c r="I970" s="1">
        <v>31</v>
      </c>
      <c r="J970" s="116" t="str">
        <f t="shared" si="15"/>
        <v>평일</v>
      </c>
    </row>
    <row r="971" spans="1:10" ht="21.75" customHeight="1" x14ac:dyDescent="0.25">
      <c r="A971" s="2">
        <v>2023</v>
      </c>
      <c r="B971" s="2">
        <v>6</v>
      </c>
      <c r="C971" s="2" t="s">
        <v>159</v>
      </c>
      <c r="D971" s="3">
        <v>45080</v>
      </c>
      <c r="E971" s="7">
        <v>157</v>
      </c>
      <c r="F971" s="2" t="s">
        <v>13</v>
      </c>
      <c r="G971" s="1">
        <v>29</v>
      </c>
      <c r="H971" s="6">
        <v>128</v>
      </c>
      <c r="I971" s="1">
        <v>32</v>
      </c>
      <c r="J971" s="116" t="str">
        <f t="shared" si="15"/>
        <v>주말</v>
      </c>
    </row>
    <row r="972" spans="1:10" ht="21.75" customHeight="1" x14ac:dyDescent="0.25">
      <c r="A972" s="2">
        <v>2023</v>
      </c>
      <c r="B972" s="2">
        <v>6</v>
      </c>
      <c r="C972" s="2" t="s">
        <v>160</v>
      </c>
      <c r="D972" s="3">
        <v>45081</v>
      </c>
      <c r="E972" s="7">
        <v>164</v>
      </c>
      <c r="F972" s="2" t="s">
        <v>13</v>
      </c>
      <c r="G972" s="1">
        <v>26</v>
      </c>
      <c r="H972" s="6">
        <v>138</v>
      </c>
      <c r="I972" s="1">
        <v>33</v>
      </c>
      <c r="J972" s="116" t="str">
        <f t="shared" si="15"/>
        <v>주말</v>
      </c>
    </row>
    <row r="973" spans="1:10" ht="21.75" customHeight="1" x14ac:dyDescent="0.25">
      <c r="A973" s="2">
        <v>2023</v>
      </c>
      <c r="B973" s="2">
        <v>6</v>
      </c>
      <c r="C973" s="2" t="s">
        <v>161</v>
      </c>
      <c r="D973" s="3">
        <v>45082</v>
      </c>
      <c r="E973" s="7">
        <v>125</v>
      </c>
      <c r="F973" s="2" t="s">
        <v>13</v>
      </c>
      <c r="G973" s="1">
        <v>22</v>
      </c>
      <c r="H973" s="6">
        <v>103</v>
      </c>
      <c r="I973" s="1">
        <v>34</v>
      </c>
      <c r="J973" s="116" t="str">
        <f t="shared" si="15"/>
        <v>평일</v>
      </c>
    </row>
    <row r="974" spans="1:10" ht="21.75" customHeight="1" x14ac:dyDescent="0.25">
      <c r="A974" s="2">
        <v>2023</v>
      </c>
      <c r="B974" s="2">
        <v>6</v>
      </c>
      <c r="C974" s="2" t="s">
        <v>162</v>
      </c>
      <c r="D974" s="3">
        <v>45083</v>
      </c>
      <c r="E974" s="7">
        <v>131</v>
      </c>
      <c r="F974" s="2" t="s">
        <v>13</v>
      </c>
      <c r="G974" s="1">
        <v>34</v>
      </c>
      <c r="H974" s="6">
        <v>97</v>
      </c>
      <c r="I974" s="1">
        <v>35</v>
      </c>
      <c r="J974" s="116" t="str">
        <f t="shared" si="15"/>
        <v>평일</v>
      </c>
    </row>
    <row r="975" spans="1:10" ht="21.75" customHeight="1" x14ac:dyDescent="0.25">
      <c r="A975" s="2">
        <v>2023</v>
      </c>
      <c r="B975" s="2">
        <v>6</v>
      </c>
      <c r="C975" s="2" t="s">
        <v>163</v>
      </c>
      <c r="D975" s="3">
        <v>45084</v>
      </c>
      <c r="E975" s="7">
        <v>83</v>
      </c>
      <c r="F975" s="2" t="s">
        <v>13</v>
      </c>
      <c r="G975" s="1">
        <v>20</v>
      </c>
      <c r="H975" s="6">
        <v>63</v>
      </c>
      <c r="I975" s="1">
        <v>36</v>
      </c>
      <c r="J975" s="116" t="str">
        <f t="shared" si="15"/>
        <v>평일</v>
      </c>
    </row>
    <row r="976" spans="1:10" ht="21.75" customHeight="1" x14ac:dyDescent="0.25">
      <c r="A976" s="2">
        <v>2023</v>
      </c>
      <c r="B976" s="2">
        <v>6</v>
      </c>
      <c r="C976" s="2" t="s">
        <v>157</v>
      </c>
      <c r="D976" s="3">
        <v>45085</v>
      </c>
      <c r="E976" s="7">
        <v>97</v>
      </c>
      <c r="F976" s="2" t="s">
        <v>13</v>
      </c>
      <c r="G976" s="1">
        <v>35</v>
      </c>
      <c r="H976" s="6">
        <v>62</v>
      </c>
      <c r="I976" s="1">
        <v>37</v>
      </c>
      <c r="J976" s="116" t="str">
        <f t="shared" si="15"/>
        <v>평일</v>
      </c>
    </row>
    <row r="977" spans="1:10" ht="21.75" customHeight="1" x14ac:dyDescent="0.25">
      <c r="A977" s="2">
        <v>2023</v>
      </c>
      <c r="B977" s="2">
        <v>6</v>
      </c>
      <c r="C977" s="2" t="s">
        <v>158</v>
      </c>
      <c r="D977" s="3">
        <v>45086</v>
      </c>
      <c r="E977" s="7">
        <v>68</v>
      </c>
      <c r="F977" s="2" t="s">
        <v>13</v>
      </c>
      <c r="G977" s="1">
        <v>5</v>
      </c>
      <c r="H977" s="6">
        <v>63</v>
      </c>
      <c r="I977" s="1">
        <v>38</v>
      </c>
      <c r="J977" s="116" t="str">
        <f t="shared" si="15"/>
        <v>평일</v>
      </c>
    </row>
    <row r="978" spans="1:10" ht="21.75" customHeight="1" x14ac:dyDescent="0.25">
      <c r="A978" s="2">
        <v>2023</v>
      </c>
      <c r="B978" s="2">
        <v>6</v>
      </c>
      <c r="C978" s="2" t="s">
        <v>159</v>
      </c>
      <c r="D978" s="3">
        <v>45087</v>
      </c>
      <c r="E978" s="7">
        <v>195</v>
      </c>
      <c r="F978" s="2" t="s">
        <v>13</v>
      </c>
      <c r="G978" s="1">
        <v>58</v>
      </c>
      <c r="H978" s="6">
        <v>137</v>
      </c>
      <c r="I978" s="1">
        <v>39</v>
      </c>
      <c r="J978" s="116" t="str">
        <f t="shared" si="15"/>
        <v>주말</v>
      </c>
    </row>
    <row r="979" spans="1:10" ht="21.75" customHeight="1" x14ac:dyDescent="0.25">
      <c r="A979" s="2">
        <v>2023</v>
      </c>
      <c r="B979" s="2">
        <v>6</v>
      </c>
      <c r="C979" s="2" t="s">
        <v>160</v>
      </c>
      <c r="D979" s="3">
        <v>45088</v>
      </c>
      <c r="E979" s="7">
        <v>158</v>
      </c>
      <c r="F979" s="2" t="s">
        <v>13</v>
      </c>
      <c r="G979" s="1">
        <v>62</v>
      </c>
      <c r="H979" s="6">
        <v>96</v>
      </c>
      <c r="I979" s="1">
        <v>40</v>
      </c>
      <c r="J979" s="116" t="str">
        <f t="shared" si="15"/>
        <v>주말</v>
      </c>
    </row>
    <row r="980" spans="1:10" ht="21.75" customHeight="1" x14ac:dyDescent="0.25">
      <c r="A980" s="2">
        <v>2023</v>
      </c>
      <c r="B980" s="2">
        <v>6</v>
      </c>
      <c r="C980" s="2" t="s">
        <v>161</v>
      </c>
      <c r="D980" s="3">
        <v>45089</v>
      </c>
      <c r="E980" s="7">
        <v>25</v>
      </c>
      <c r="F980" s="2" t="s">
        <v>13</v>
      </c>
      <c r="G980" s="1">
        <v>25</v>
      </c>
      <c r="H980" s="6">
        <v>0</v>
      </c>
      <c r="I980" s="1">
        <v>41</v>
      </c>
      <c r="J980" s="116" t="str">
        <f t="shared" si="15"/>
        <v>평일</v>
      </c>
    </row>
    <row r="981" spans="1:10" ht="21.75" customHeight="1" x14ac:dyDescent="0.25">
      <c r="A981" s="2">
        <v>2023</v>
      </c>
      <c r="B981" s="2">
        <v>6</v>
      </c>
      <c r="C981" s="2" t="s">
        <v>162</v>
      </c>
      <c r="D981" s="3">
        <v>45090</v>
      </c>
      <c r="E981" s="7">
        <v>122</v>
      </c>
      <c r="F981" s="2" t="s">
        <v>13</v>
      </c>
      <c r="G981" s="1">
        <v>25</v>
      </c>
      <c r="H981" s="6">
        <v>97</v>
      </c>
      <c r="I981" s="1">
        <v>42</v>
      </c>
      <c r="J981" s="116" t="str">
        <f t="shared" si="15"/>
        <v>평일</v>
      </c>
    </row>
    <row r="982" spans="1:10" ht="21.75" customHeight="1" x14ac:dyDescent="0.25">
      <c r="A982" s="2">
        <v>2023</v>
      </c>
      <c r="B982" s="2">
        <v>6</v>
      </c>
      <c r="C982" s="2" t="s">
        <v>163</v>
      </c>
      <c r="D982" s="3">
        <v>45091</v>
      </c>
      <c r="E982" s="7">
        <v>102</v>
      </c>
      <c r="F982" s="2" t="s">
        <v>13</v>
      </c>
      <c r="G982" s="1">
        <v>59</v>
      </c>
      <c r="H982" s="6">
        <v>43</v>
      </c>
      <c r="I982" s="1">
        <v>43</v>
      </c>
      <c r="J982" s="116" t="str">
        <f t="shared" si="15"/>
        <v>평일</v>
      </c>
    </row>
    <row r="983" spans="1:10" ht="21.75" customHeight="1" x14ac:dyDescent="0.25">
      <c r="A983" s="2">
        <v>2023</v>
      </c>
      <c r="B983" s="2">
        <v>6</v>
      </c>
      <c r="C983" s="2" t="s">
        <v>157</v>
      </c>
      <c r="D983" s="3">
        <v>45092</v>
      </c>
      <c r="E983" s="7">
        <v>74</v>
      </c>
      <c r="F983" s="2" t="s">
        <v>13</v>
      </c>
      <c r="G983" s="1">
        <v>25</v>
      </c>
      <c r="H983" s="6">
        <v>49</v>
      </c>
      <c r="I983" s="1">
        <v>44</v>
      </c>
      <c r="J983" s="116" t="str">
        <f t="shared" si="15"/>
        <v>평일</v>
      </c>
    </row>
    <row r="984" spans="1:10" ht="21.75" customHeight="1" x14ac:dyDescent="0.25">
      <c r="A984" s="2">
        <v>2023</v>
      </c>
      <c r="B984" s="2">
        <v>6</v>
      </c>
      <c r="C984" s="2" t="s">
        <v>158</v>
      </c>
      <c r="D984" s="3">
        <v>45093</v>
      </c>
      <c r="E984" s="7">
        <v>159</v>
      </c>
      <c r="F984" s="2" t="s">
        <v>13</v>
      </c>
      <c r="G984" s="1">
        <v>23</v>
      </c>
      <c r="H984" s="6">
        <v>136</v>
      </c>
      <c r="I984" s="1">
        <v>45</v>
      </c>
      <c r="J984" s="116" t="str">
        <f t="shared" si="15"/>
        <v>평일</v>
      </c>
    </row>
    <row r="985" spans="1:10" ht="21.75" customHeight="1" x14ac:dyDescent="0.25">
      <c r="A985" s="2">
        <v>2023</v>
      </c>
      <c r="B985" s="2">
        <v>6</v>
      </c>
      <c r="C985" s="2" t="s">
        <v>159</v>
      </c>
      <c r="D985" s="3">
        <v>45094</v>
      </c>
      <c r="E985" s="7">
        <v>194</v>
      </c>
      <c r="F985" s="2" t="s">
        <v>13</v>
      </c>
      <c r="G985" s="1">
        <v>59</v>
      </c>
      <c r="H985" s="6">
        <v>135</v>
      </c>
      <c r="I985" s="1">
        <v>46</v>
      </c>
      <c r="J985" s="116" t="str">
        <f t="shared" si="15"/>
        <v>주말</v>
      </c>
    </row>
    <row r="986" spans="1:10" ht="21.75" customHeight="1" x14ac:dyDescent="0.25">
      <c r="A986" s="2">
        <v>2023</v>
      </c>
      <c r="B986" s="2">
        <v>6</v>
      </c>
      <c r="C986" s="2" t="s">
        <v>160</v>
      </c>
      <c r="D986" s="3">
        <v>45095</v>
      </c>
      <c r="E986" s="7">
        <v>154</v>
      </c>
      <c r="F986" s="2" t="s">
        <v>13</v>
      </c>
      <c r="G986" s="1">
        <v>31</v>
      </c>
      <c r="H986" s="6">
        <v>123</v>
      </c>
      <c r="I986" s="1">
        <v>47</v>
      </c>
      <c r="J986" s="116" t="str">
        <f t="shared" si="15"/>
        <v>주말</v>
      </c>
    </row>
    <row r="987" spans="1:10" ht="21.75" customHeight="1" x14ac:dyDescent="0.25">
      <c r="A987" s="2">
        <v>2023</v>
      </c>
      <c r="B987" s="2">
        <v>6</v>
      </c>
      <c r="C987" s="2" t="s">
        <v>161</v>
      </c>
      <c r="D987" s="3">
        <v>45096</v>
      </c>
      <c r="E987" s="7">
        <v>84</v>
      </c>
      <c r="F987" s="2" t="s">
        <v>13</v>
      </c>
      <c r="G987" s="1">
        <v>20</v>
      </c>
      <c r="H987" s="6">
        <v>64</v>
      </c>
      <c r="I987" s="1">
        <v>48</v>
      </c>
      <c r="J987" s="116" t="str">
        <f t="shared" si="15"/>
        <v>평일</v>
      </c>
    </row>
    <row r="988" spans="1:10" ht="21.75" customHeight="1" x14ac:dyDescent="0.25">
      <c r="A988" s="2">
        <v>2023</v>
      </c>
      <c r="B988" s="2">
        <v>6</v>
      </c>
      <c r="C988" s="2" t="s">
        <v>162</v>
      </c>
      <c r="D988" s="3">
        <v>45097</v>
      </c>
      <c r="E988" s="7">
        <v>62</v>
      </c>
      <c r="F988" s="2" t="s">
        <v>13</v>
      </c>
      <c r="G988" s="1">
        <v>20</v>
      </c>
      <c r="H988" s="6">
        <v>42</v>
      </c>
      <c r="I988" s="1">
        <v>49</v>
      </c>
      <c r="J988" s="116" t="str">
        <f t="shared" si="15"/>
        <v>평일</v>
      </c>
    </row>
    <row r="989" spans="1:10" ht="21.75" customHeight="1" x14ac:dyDescent="0.25">
      <c r="A989" s="2">
        <v>2023</v>
      </c>
      <c r="B989" s="2">
        <v>6</v>
      </c>
      <c r="C989" s="2" t="s">
        <v>163</v>
      </c>
      <c r="D989" s="3">
        <v>45098</v>
      </c>
      <c r="E989" s="7">
        <v>84</v>
      </c>
      <c r="F989" s="2" t="s">
        <v>13</v>
      </c>
      <c r="G989" s="1">
        <v>28</v>
      </c>
      <c r="H989" s="6">
        <v>56</v>
      </c>
      <c r="I989" s="1">
        <v>50</v>
      </c>
      <c r="J989" s="116" t="str">
        <f t="shared" si="15"/>
        <v>평일</v>
      </c>
    </row>
    <row r="990" spans="1:10" ht="21.75" customHeight="1" x14ac:dyDescent="0.25">
      <c r="A990" s="2">
        <v>2023</v>
      </c>
      <c r="B990" s="2">
        <v>6</v>
      </c>
      <c r="C990" s="2" t="s">
        <v>157</v>
      </c>
      <c r="D990" s="3">
        <v>45099</v>
      </c>
      <c r="E990" s="7">
        <v>140</v>
      </c>
      <c r="F990" s="2" t="s">
        <v>13</v>
      </c>
      <c r="G990" s="1">
        <v>29</v>
      </c>
      <c r="H990" s="6">
        <v>111</v>
      </c>
      <c r="I990" s="1">
        <v>51</v>
      </c>
      <c r="J990" s="116" t="str">
        <f t="shared" si="15"/>
        <v>평일</v>
      </c>
    </row>
    <row r="991" spans="1:10" ht="21.75" customHeight="1" x14ac:dyDescent="0.25">
      <c r="A991" s="2">
        <v>2023</v>
      </c>
      <c r="B991" s="2">
        <v>6</v>
      </c>
      <c r="C991" s="2" t="s">
        <v>158</v>
      </c>
      <c r="D991" s="3">
        <v>45100</v>
      </c>
      <c r="E991" s="7">
        <v>106</v>
      </c>
      <c r="F991" s="2" t="s">
        <v>13</v>
      </c>
      <c r="G991" s="1">
        <v>42</v>
      </c>
      <c r="H991" s="6">
        <v>64</v>
      </c>
      <c r="I991" s="1">
        <v>52</v>
      </c>
      <c r="J991" s="116" t="str">
        <f t="shared" si="15"/>
        <v>평일</v>
      </c>
    </row>
    <row r="992" spans="1:10" ht="21.75" customHeight="1" x14ac:dyDescent="0.25">
      <c r="A992" s="2">
        <v>2023</v>
      </c>
      <c r="B992" s="2">
        <v>6</v>
      </c>
      <c r="C992" s="2" t="s">
        <v>159</v>
      </c>
      <c r="D992" s="3">
        <v>45101</v>
      </c>
      <c r="E992" s="7">
        <v>189</v>
      </c>
      <c r="F992" s="2" t="s">
        <v>13</v>
      </c>
      <c r="G992" s="1">
        <v>68</v>
      </c>
      <c r="H992" s="6">
        <v>121</v>
      </c>
      <c r="I992" s="1">
        <v>53</v>
      </c>
      <c r="J992" s="116" t="str">
        <f t="shared" si="15"/>
        <v>주말</v>
      </c>
    </row>
    <row r="993" spans="1:10" ht="21.75" customHeight="1" x14ac:dyDescent="0.25">
      <c r="A993" s="2">
        <v>2023</v>
      </c>
      <c r="B993" s="2">
        <v>6</v>
      </c>
      <c r="C993" s="2" t="s">
        <v>160</v>
      </c>
      <c r="D993" s="3">
        <v>45102</v>
      </c>
      <c r="E993" s="7">
        <v>177</v>
      </c>
      <c r="F993" s="2" t="s">
        <v>13</v>
      </c>
      <c r="G993" s="1">
        <v>58</v>
      </c>
      <c r="H993" s="6">
        <v>119</v>
      </c>
      <c r="I993" s="1">
        <v>54</v>
      </c>
      <c r="J993" s="116" t="str">
        <f t="shared" si="15"/>
        <v>주말</v>
      </c>
    </row>
    <row r="994" spans="1:10" ht="21.75" customHeight="1" x14ac:dyDescent="0.25">
      <c r="A994" s="2">
        <v>2023</v>
      </c>
      <c r="B994" s="2">
        <v>6</v>
      </c>
      <c r="C994" s="2" t="s">
        <v>161</v>
      </c>
      <c r="D994" s="3">
        <v>45103</v>
      </c>
      <c r="E994" s="7">
        <v>65</v>
      </c>
      <c r="F994" s="2" t="s">
        <v>13</v>
      </c>
      <c r="G994" s="1">
        <v>9</v>
      </c>
      <c r="H994" s="6">
        <v>56</v>
      </c>
      <c r="I994" s="1">
        <v>55</v>
      </c>
      <c r="J994" s="116" t="str">
        <f t="shared" si="15"/>
        <v>평일</v>
      </c>
    </row>
    <row r="995" spans="1:10" ht="21.75" customHeight="1" x14ac:dyDescent="0.25">
      <c r="A995" s="2">
        <v>2023</v>
      </c>
      <c r="B995" s="2">
        <v>6</v>
      </c>
      <c r="C995" s="2" t="s">
        <v>162</v>
      </c>
      <c r="D995" s="3">
        <v>45104</v>
      </c>
      <c r="E995" s="7">
        <v>76</v>
      </c>
      <c r="F995" s="2" t="s">
        <v>13</v>
      </c>
      <c r="G995" s="1">
        <v>18</v>
      </c>
      <c r="H995" s="6">
        <v>58</v>
      </c>
      <c r="I995" s="1">
        <v>56</v>
      </c>
      <c r="J995" s="116" t="str">
        <f t="shared" si="15"/>
        <v>평일</v>
      </c>
    </row>
    <row r="996" spans="1:10" ht="21.75" customHeight="1" x14ac:dyDescent="0.25">
      <c r="A996" s="2">
        <v>2023</v>
      </c>
      <c r="B996" s="2">
        <v>6</v>
      </c>
      <c r="C996" s="2" t="s">
        <v>163</v>
      </c>
      <c r="D996" s="3">
        <v>45105</v>
      </c>
      <c r="E996" s="7">
        <v>150</v>
      </c>
      <c r="F996" s="2" t="s">
        <v>13</v>
      </c>
      <c r="G996" s="1">
        <v>34</v>
      </c>
      <c r="H996" s="6">
        <v>116</v>
      </c>
      <c r="I996" s="1">
        <v>57</v>
      </c>
      <c r="J996" s="116" t="str">
        <f t="shared" si="15"/>
        <v>평일</v>
      </c>
    </row>
    <row r="997" spans="1:10" ht="21.75" customHeight="1" x14ac:dyDescent="0.25">
      <c r="A997" s="2">
        <v>2023</v>
      </c>
      <c r="B997" s="2">
        <v>6</v>
      </c>
      <c r="C997" s="2" t="s">
        <v>157</v>
      </c>
      <c r="D997" s="3">
        <v>45106</v>
      </c>
      <c r="E997" s="7">
        <v>110</v>
      </c>
      <c r="F997" s="2" t="s">
        <v>13</v>
      </c>
      <c r="G997" s="1">
        <v>58</v>
      </c>
      <c r="H997" s="6">
        <v>52</v>
      </c>
      <c r="I997" s="1">
        <v>58</v>
      </c>
      <c r="J997" s="116" t="str">
        <f t="shared" si="15"/>
        <v>평일</v>
      </c>
    </row>
    <row r="998" spans="1:10" ht="21.75" customHeight="1" x14ac:dyDescent="0.25">
      <c r="A998" s="2">
        <v>2023</v>
      </c>
      <c r="B998" s="2">
        <v>6</v>
      </c>
      <c r="C998" s="2" t="s">
        <v>158</v>
      </c>
      <c r="D998" s="3">
        <v>45107</v>
      </c>
      <c r="E998" s="7">
        <v>145</v>
      </c>
      <c r="F998" s="2" t="s">
        <v>13</v>
      </c>
      <c r="G998" s="1">
        <v>36</v>
      </c>
      <c r="H998" s="6">
        <v>109</v>
      </c>
      <c r="I998" s="1">
        <v>59</v>
      </c>
      <c r="J998" s="116" t="str">
        <f t="shared" si="15"/>
        <v>평일</v>
      </c>
    </row>
    <row r="999" spans="1:10" ht="21.75" customHeight="1" x14ac:dyDescent="0.25">
      <c r="A999" s="2">
        <v>2023</v>
      </c>
      <c r="B999" s="2">
        <v>7</v>
      </c>
      <c r="C999" s="2" t="s">
        <v>159</v>
      </c>
      <c r="D999" s="3">
        <v>45108</v>
      </c>
      <c r="E999" s="7">
        <v>223</v>
      </c>
      <c r="F999" s="2" t="s">
        <v>13</v>
      </c>
      <c r="G999" s="1">
        <v>77</v>
      </c>
      <c r="H999" s="6">
        <v>146</v>
      </c>
      <c r="I999" s="1">
        <v>60</v>
      </c>
      <c r="J999" s="116" t="str">
        <f t="shared" si="15"/>
        <v>주말</v>
      </c>
    </row>
    <row r="1000" spans="1:10" ht="21.75" customHeight="1" x14ac:dyDescent="0.25">
      <c r="A1000" s="2">
        <v>2023</v>
      </c>
      <c r="B1000" s="2">
        <v>7</v>
      </c>
      <c r="C1000" s="2" t="s">
        <v>160</v>
      </c>
      <c r="D1000" s="3">
        <v>45109</v>
      </c>
      <c r="E1000" s="7">
        <v>318</v>
      </c>
      <c r="F1000" s="2" t="s">
        <v>13</v>
      </c>
      <c r="G1000" s="1">
        <v>69</v>
      </c>
      <c r="H1000" s="6">
        <v>249</v>
      </c>
      <c r="I1000" s="1">
        <v>61</v>
      </c>
      <c r="J1000" s="116" t="str">
        <f t="shared" si="15"/>
        <v>주말</v>
      </c>
    </row>
    <row r="1001" spans="1:10" ht="21.75" customHeight="1" x14ac:dyDescent="0.25">
      <c r="A1001" s="2">
        <v>2023</v>
      </c>
      <c r="B1001" s="2">
        <v>7</v>
      </c>
      <c r="C1001" s="2" t="s">
        <v>161</v>
      </c>
      <c r="D1001" s="3">
        <v>45110</v>
      </c>
      <c r="E1001" s="7">
        <v>140</v>
      </c>
      <c r="F1001" s="2" t="s">
        <v>13</v>
      </c>
      <c r="G1001" s="1">
        <v>49</v>
      </c>
      <c r="H1001" s="6">
        <v>91</v>
      </c>
      <c r="I1001" s="1">
        <v>62</v>
      </c>
      <c r="J1001" s="116" t="str">
        <f t="shared" si="15"/>
        <v>평일</v>
      </c>
    </row>
    <row r="1002" spans="1:10" ht="21.75" customHeight="1" x14ac:dyDescent="0.25">
      <c r="A1002" s="2">
        <v>2023</v>
      </c>
      <c r="B1002" s="2">
        <v>7</v>
      </c>
      <c r="C1002" s="2" t="s">
        <v>162</v>
      </c>
      <c r="D1002" s="3">
        <v>45111</v>
      </c>
      <c r="E1002" s="7">
        <v>81</v>
      </c>
      <c r="F1002" s="2" t="s">
        <v>13</v>
      </c>
      <c r="G1002" s="1">
        <v>35</v>
      </c>
      <c r="H1002" s="6">
        <v>46</v>
      </c>
      <c r="I1002" s="1">
        <v>63</v>
      </c>
      <c r="J1002" s="116" t="str">
        <f t="shared" si="15"/>
        <v>평일</v>
      </c>
    </row>
    <row r="1003" spans="1:10" ht="21.75" customHeight="1" x14ac:dyDescent="0.25">
      <c r="A1003" s="2">
        <v>2023</v>
      </c>
      <c r="B1003" s="2">
        <v>7</v>
      </c>
      <c r="C1003" s="2" t="s">
        <v>163</v>
      </c>
      <c r="D1003" s="3">
        <v>45112</v>
      </c>
      <c r="E1003" s="7">
        <v>137</v>
      </c>
      <c r="F1003" s="2" t="s">
        <v>13</v>
      </c>
      <c r="G1003" s="1">
        <v>37</v>
      </c>
      <c r="H1003" s="6">
        <v>100</v>
      </c>
      <c r="I1003" s="1">
        <v>64</v>
      </c>
      <c r="J1003" s="116" t="str">
        <f t="shared" si="15"/>
        <v>평일</v>
      </c>
    </row>
    <row r="1004" spans="1:10" ht="21.75" customHeight="1" x14ac:dyDescent="0.25">
      <c r="A1004" s="2">
        <v>2023</v>
      </c>
      <c r="B1004" s="2">
        <v>7</v>
      </c>
      <c r="C1004" s="2" t="s">
        <v>157</v>
      </c>
      <c r="D1004" s="3">
        <v>45113</v>
      </c>
      <c r="E1004" s="7">
        <v>120</v>
      </c>
      <c r="F1004" s="2" t="s">
        <v>13</v>
      </c>
      <c r="G1004" s="1">
        <v>41</v>
      </c>
      <c r="H1004" s="6">
        <v>79</v>
      </c>
      <c r="I1004" s="1">
        <v>65</v>
      </c>
      <c r="J1004" s="116" t="str">
        <f t="shared" si="15"/>
        <v>평일</v>
      </c>
    </row>
    <row r="1005" spans="1:10" ht="21.75" customHeight="1" x14ac:dyDescent="0.25">
      <c r="A1005" s="2">
        <v>2023</v>
      </c>
      <c r="B1005" s="2">
        <v>7</v>
      </c>
      <c r="C1005" s="2" t="s">
        <v>158</v>
      </c>
      <c r="D1005" s="3">
        <v>45114</v>
      </c>
      <c r="E1005" s="7">
        <v>166</v>
      </c>
      <c r="F1005" s="2" t="s">
        <v>13</v>
      </c>
      <c r="G1005" s="1">
        <v>44</v>
      </c>
      <c r="H1005" s="6">
        <v>122</v>
      </c>
      <c r="I1005" s="1">
        <v>66</v>
      </c>
      <c r="J1005" s="116" t="str">
        <f t="shared" si="15"/>
        <v>평일</v>
      </c>
    </row>
    <row r="1006" spans="1:10" ht="21.75" customHeight="1" x14ac:dyDescent="0.25">
      <c r="A1006" s="2">
        <v>2023</v>
      </c>
      <c r="B1006" s="2">
        <v>7</v>
      </c>
      <c r="C1006" s="2" t="s">
        <v>159</v>
      </c>
      <c r="D1006" s="3">
        <v>45115</v>
      </c>
      <c r="E1006" s="7">
        <v>251</v>
      </c>
      <c r="F1006" s="2" t="s">
        <v>13</v>
      </c>
      <c r="G1006" s="1">
        <v>85</v>
      </c>
      <c r="H1006" s="6">
        <v>166</v>
      </c>
      <c r="I1006" s="1">
        <v>67</v>
      </c>
      <c r="J1006" s="116" t="str">
        <f t="shared" si="15"/>
        <v>주말</v>
      </c>
    </row>
    <row r="1007" spans="1:10" ht="21.75" customHeight="1" x14ac:dyDescent="0.25">
      <c r="A1007" s="2">
        <v>2023</v>
      </c>
      <c r="B1007" s="2">
        <v>7</v>
      </c>
      <c r="C1007" s="2" t="s">
        <v>160</v>
      </c>
      <c r="D1007" s="3">
        <v>45116</v>
      </c>
      <c r="E1007" s="7">
        <v>323</v>
      </c>
      <c r="F1007" s="2" t="s">
        <v>13</v>
      </c>
      <c r="G1007" s="1">
        <v>72</v>
      </c>
      <c r="H1007" s="6">
        <v>251</v>
      </c>
      <c r="I1007" s="1">
        <v>68</v>
      </c>
      <c r="J1007" s="116" t="str">
        <f t="shared" si="15"/>
        <v>주말</v>
      </c>
    </row>
    <row r="1008" spans="1:10" ht="21.75" customHeight="1" x14ac:dyDescent="0.25">
      <c r="A1008" s="2">
        <v>2023</v>
      </c>
      <c r="B1008" s="2">
        <v>7</v>
      </c>
      <c r="C1008" s="2" t="s">
        <v>161</v>
      </c>
      <c r="D1008" s="3">
        <v>45117</v>
      </c>
      <c r="E1008" s="7">
        <v>21</v>
      </c>
      <c r="F1008" s="2" t="s">
        <v>13</v>
      </c>
      <c r="G1008" s="1">
        <v>20</v>
      </c>
      <c r="H1008" s="6">
        <v>1</v>
      </c>
      <c r="I1008" s="1">
        <v>69</v>
      </c>
      <c r="J1008" s="116" t="str">
        <f t="shared" si="15"/>
        <v>평일</v>
      </c>
    </row>
    <row r="1009" spans="1:10" ht="21.75" customHeight="1" x14ac:dyDescent="0.25">
      <c r="A1009" s="2">
        <v>2023</v>
      </c>
      <c r="B1009" s="2">
        <v>7</v>
      </c>
      <c r="C1009" s="2" t="s">
        <v>162</v>
      </c>
      <c r="D1009" s="3">
        <v>45118</v>
      </c>
      <c r="E1009" s="7">
        <v>123</v>
      </c>
      <c r="F1009" s="2" t="s">
        <v>13</v>
      </c>
      <c r="G1009" s="1">
        <v>35</v>
      </c>
      <c r="H1009" s="6">
        <v>88</v>
      </c>
      <c r="I1009" s="1">
        <v>70</v>
      </c>
      <c r="J1009" s="116" t="str">
        <f t="shared" si="15"/>
        <v>평일</v>
      </c>
    </row>
    <row r="1010" spans="1:10" ht="21.75" customHeight="1" x14ac:dyDescent="0.25">
      <c r="A1010" s="2">
        <v>2023</v>
      </c>
      <c r="B1010" s="2">
        <v>7</v>
      </c>
      <c r="C1010" s="2" t="s">
        <v>163</v>
      </c>
      <c r="D1010" s="3">
        <v>45119</v>
      </c>
      <c r="E1010" s="7">
        <v>148</v>
      </c>
      <c r="F1010" s="2" t="s">
        <v>13</v>
      </c>
      <c r="G1010" s="1">
        <v>43</v>
      </c>
      <c r="H1010" s="6">
        <v>105</v>
      </c>
      <c r="I1010" s="1">
        <v>71</v>
      </c>
      <c r="J1010" s="116" t="str">
        <f t="shared" si="15"/>
        <v>평일</v>
      </c>
    </row>
    <row r="1011" spans="1:10" ht="21.75" customHeight="1" x14ac:dyDescent="0.25">
      <c r="A1011" s="2">
        <v>2023</v>
      </c>
      <c r="B1011" s="2">
        <v>7</v>
      </c>
      <c r="C1011" s="2" t="s">
        <v>157</v>
      </c>
      <c r="D1011" s="3">
        <v>45120</v>
      </c>
      <c r="E1011" s="7">
        <v>81</v>
      </c>
      <c r="F1011" s="2" t="s">
        <v>13</v>
      </c>
      <c r="G1011" s="1">
        <v>25</v>
      </c>
      <c r="H1011" s="6">
        <v>56</v>
      </c>
      <c r="I1011" s="1">
        <v>72</v>
      </c>
      <c r="J1011" s="116" t="str">
        <f t="shared" si="15"/>
        <v>평일</v>
      </c>
    </row>
    <row r="1012" spans="1:10" ht="21.75" customHeight="1" x14ac:dyDescent="0.25">
      <c r="A1012" s="2">
        <v>2023</v>
      </c>
      <c r="B1012" s="2">
        <v>7</v>
      </c>
      <c r="C1012" s="2" t="s">
        <v>158</v>
      </c>
      <c r="D1012" s="3">
        <v>45121</v>
      </c>
      <c r="E1012" s="7">
        <v>400</v>
      </c>
      <c r="F1012" s="2" t="s">
        <v>13</v>
      </c>
      <c r="G1012" s="1">
        <v>132</v>
      </c>
      <c r="H1012" s="6">
        <v>268</v>
      </c>
      <c r="I1012" s="1">
        <v>73</v>
      </c>
      <c r="J1012" s="116" t="str">
        <f t="shared" si="15"/>
        <v>평일</v>
      </c>
    </row>
    <row r="1013" spans="1:10" ht="21.75" customHeight="1" x14ac:dyDescent="0.25">
      <c r="A1013" s="2">
        <v>2023</v>
      </c>
      <c r="B1013" s="2">
        <v>7</v>
      </c>
      <c r="C1013" s="2" t="s">
        <v>159</v>
      </c>
      <c r="D1013" s="3">
        <v>45122</v>
      </c>
      <c r="E1013" s="7">
        <v>408</v>
      </c>
      <c r="F1013" s="2" t="s">
        <v>13</v>
      </c>
      <c r="G1013" s="1">
        <v>123</v>
      </c>
      <c r="H1013" s="6">
        <v>285</v>
      </c>
      <c r="I1013" s="1">
        <v>74</v>
      </c>
      <c r="J1013" s="116" t="str">
        <f t="shared" si="15"/>
        <v>주말</v>
      </c>
    </row>
    <row r="1014" spans="1:10" ht="21.75" customHeight="1" x14ac:dyDescent="0.25">
      <c r="A1014" s="2">
        <v>2023</v>
      </c>
      <c r="B1014" s="2">
        <v>7</v>
      </c>
      <c r="C1014" s="2" t="s">
        <v>160</v>
      </c>
      <c r="D1014" s="3">
        <v>45123</v>
      </c>
      <c r="E1014" s="7">
        <v>384</v>
      </c>
      <c r="F1014" s="2" t="s">
        <v>13</v>
      </c>
      <c r="G1014" s="1">
        <v>118</v>
      </c>
      <c r="H1014" s="6">
        <v>266</v>
      </c>
      <c r="I1014" s="1">
        <v>75</v>
      </c>
      <c r="J1014" s="116" t="str">
        <f t="shared" si="15"/>
        <v>주말</v>
      </c>
    </row>
    <row r="1015" spans="1:10" ht="21.75" customHeight="1" x14ac:dyDescent="0.25">
      <c r="A1015" s="2">
        <v>2023</v>
      </c>
      <c r="B1015" s="2">
        <v>7</v>
      </c>
      <c r="C1015" s="2" t="s">
        <v>161</v>
      </c>
      <c r="D1015" s="3">
        <v>45124</v>
      </c>
      <c r="E1015" s="7">
        <v>147</v>
      </c>
      <c r="F1015" s="2" t="s">
        <v>13</v>
      </c>
      <c r="G1015" s="1">
        <v>43</v>
      </c>
      <c r="H1015" s="6">
        <v>104</v>
      </c>
      <c r="I1015" s="1">
        <v>76</v>
      </c>
      <c r="J1015" s="116" t="str">
        <f t="shared" si="15"/>
        <v>평일</v>
      </c>
    </row>
    <row r="1016" spans="1:10" ht="21.75" customHeight="1" x14ac:dyDescent="0.25">
      <c r="A1016" s="2">
        <v>2023</v>
      </c>
      <c r="B1016" s="2">
        <v>7</v>
      </c>
      <c r="C1016" s="2" t="s">
        <v>162</v>
      </c>
      <c r="D1016" s="3">
        <v>45125</v>
      </c>
      <c r="E1016" s="7">
        <v>87</v>
      </c>
      <c r="F1016" s="2" t="s">
        <v>13</v>
      </c>
      <c r="G1016" s="1">
        <v>23</v>
      </c>
      <c r="H1016" s="6">
        <v>64</v>
      </c>
      <c r="I1016" s="1">
        <v>77</v>
      </c>
      <c r="J1016" s="116" t="str">
        <f t="shared" si="15"/>
        <v>평일</v>
      </c>
    </row>
    <row r="1017" spans="1:10" ht="21.75" customHeight="1" x14ac:dyDescent="0.25">
      <c r="A1017" s="2">
        <v>2023</v>
      </c>
      <c r="B1017" s="2">
        <v>7</v>
      </c>
      <c r="C1017" s="2" t="s">
        <v>163</v>
      </c>
      <c r="D1017" s="3">
        <v>45126</v>
      </c>
      <c r="E1017" s="7">
        <v>122</v>
      </c>
      <c r="F1017" s="2" t="s">
        <v>13</v>
      </c>
      <c r="G1017" s="1">
        <v>52</v>
      </c>
      <c r="H1017" s="6">
        <v>70</v>
      </c>
      <c r="I1017" s="1">
        <v>78</v>
      </c>
      <c r="J1017" s="116" t="str">
        <f t="shared" si="15"/>
        <v>평일</v>
      </c>
    </row>
    <row r="1018" spans="1:10" ht="21.75" customHeight="1" x14ac:dyDescent="0.25">
      <c r="A1018" s="2">
        <v>2023</v>
      </c>
      <c r="B1018" s="2">
        <v>7</v>
      </c>
      <c r="C1018" s="2" t="s">
        <v>157</v>
      </c>
      <c r="D1018" s="3">
        <v>45127</v>
      </c>
      <c r="E1018" s="7">
        <v>126</v>
      </c>
      <c r="F1018" s="2" t="s">
        <v>13</v>
      </c>
      <c r="G1018" s="1">
        <v>38</v>
      </c>
      <c r="H1018" s="6">
        <v>88</v>
      </c>
      <c r="I1018" s="1">
        <v>79</v>
      </c>
      <c r="J1018" s="116" t="str">
        <f t="shared" si="15"/>
        <v>평일</v>
      </c>
    </row>
    <row r="1019" spans="1:10" ht="21.75" customHeight="1" x14ac:dyDescent="0.25">
      <c r="A1019" s="2">
        <v>2023</v>
      </c>
      <c r="B1019" s="2">
        <v>7</v>
      </c>
      <c r="C1019" s="2" t="s">
        <v>158</v>
      </c>
      <c r="D1019" s="3">
        <v>45128</v>
      </c>
      <c r="E1019" s="7">
        <v>194</v>
      </c>
      <c r="F1019" s="2" t="s">
        <v>13</v>
      </c>
      <c r="G1019" s="1">
        <v>74</v>
      </c>
      <c r="H1019" s="6">
        <v>120</v>
      </c>
      <c r="I1019" s="1">
        <v>80</v>
      </c>
      <c r="J1019" s="116" t="str">
        <f t="shared" si="15"/>
        <v>평일</v>
      </c>
    </row>
    <row r="1020" spans="1:10" ht="21.75" customHeight="1" x14ac:dyDescent="0.25">
      <c r="A1020" s="2">
        <v>2023</v>
      </c>
      <c r="B1020" s="2">
        <v>7</v>
      </c>
      <c r="C1020" s="2" t="s">
        <v>159</v>
      </c>
      <c r="D1020" s="3">
        <v>45129</v>
      </c>
      <c r="E1020" s="7">
        <v>497</v>
      </c>
      <c r="F1020" s="2" t="s">
        <v>13</v>
      </c>
      <c r="G1020" s="1">
        <v>178</v>
      </c>
      <c r="H1020" s="6">
        <v>319</v>
      </c>
      <c r="I1020" s="1">
        <v>81</v>
      </c>
      <c r="J1020" s="116" t="str">
        <f t="shared" si="15"/>
        <v>주말</v>
      </c>
    </row>
    <row r="1021" spans="1:10" ht="21.75" customHeight="1" x14ac:dyDescent="0.25">
      <c r="A1021" s="2">
        <v>2023</v>
      </c>
      <c r="B1021" s="2">
        <v>7</v>
      </c>
      <c r="C1021" s="2" t="s">
        <v>160</v>
      </c>
      <c r="D1021" s="3">
        <v>45130</v>
      </c>
      <c r="E1021" s="7">
        <v>437</v>
      </c>
      <c r="F1021" s="2" t="s">
        <v>13</v>
      </c>
      <c r="G1021" s="1">
        <v>140</v>
      </c>
      <c r="H1021" s="6">
        <v>297</v>
      </c>
      <c r="I1021" s="1">
        <v>82</v>
      </c>
      <c r="J1021" s="116" t="str">
        <f t="shared" si="15"/>
        <v>주말</v>
      </c>
    </row>
    <row r="1022" spans="1:10" ht="21.75" customHeight="1" x14ac:dyDescent="0.25">
      <c r="A1022" s="2">
        <v>2023</v>
      </c>
      <c r="B1022" s="2">
        <v>7</v>
      </c>
      <c r="C1022" s="2" t="s">
        <v>161</v>
      </c>
      <c r="D1022" s="3">
        <v>45131</v>
      </c>
      <c r="E1022" s="7">
        <v>197</v>
      </c>
      <c r="F1022" s="2" t="s">
        <v>13</v>
      </c>
      <c r="G1022" s="1">
        <v>55</v>
      </c>
      <c r="H1022" s="6">
        <v>142</v>
      </c>
      <c r="I1022" s="1">
        <v>83</v>
      </c>
      <c r="J1022" s="116" t="str">
        <f t="shared" si="15"/>
        <v>평일</v>
      </c>
    </row>
    <row r="1023" spans="1:10" ht="21.75" customHeight="1" x14ac:dyDescent="0.25">
      <c r="A1023" s="2">
        <v>2023</v>
      </c>
      <c r="B1023" s="2">
        <v>7</v>
      </c>
      <c r="C1023" s="2" t="s">
        <v>162</v>
      </c>
      <c r="D1023" s="3">
        <v>45132</v>
      </c>
      <c r="E1023" s="7">
        <v>175</v>
      </c>
      <c r="F1023" s="2" t="s">
        <v>13</v>
      </c>
      <c r="G1023" s="1">
        <v>90</v>
      </c>
      <c r="H1023" s="6">
        <v>85</v>
      </c>
      <c r="I1023" s="1">
        <v>84</v>
      </c>
      <c r="J1023" s="116" t="str">
        <f t="shared" si="15"/>
        <v>평일</v>
      </c>
    </row>
    <row r="1024" spans="1:10" ht="21.75" customHeight="1" x14ac:dyDescent="0.25">
      <c r="A1024" s="2">
        <v>2023</v>
      </c>
      <c r="B1024" s="2">
        <v>7</v>
      </c>
      <c r="C1024" s="2" t="s">
        <v>163</v>
      </c>
      <c r="D1024" s="3">
        <v>45133</v>
      </c>
      <c r="E1024" s="7">
        <v>288</v>
      </c>
      <c r="F1024" s="2" t="s">
        <v>13</v>
      </c>
      <c r="G1024" s="1">
        <v>89</v>
      </c>
      <c r="H1024" s="6">
        <v>199</v>
      </c>
      <c r="I1024" s="1">
        <v>85</v>
      </c>
      <c r="J1024" s="116" t="str">
        <f t="shared" si="15"/>
        <v>평일</v>
      </c>
    </row>
    <row r="1025" spans="1:10" ht="21.75" customHeight="1" x14ac:dyDescent="0.25">
      <c r="A1025" s="2">
        <v>2023</v>
      </c>
      <c r="B1025" s="2">
        <v>7</v>
      </c>
      <c r="C1025" s="2" t="s">
        <v>157</v>
      </c>
      <c r="D1025" s="3">
        <v>45134</v>
      </c>
      <c r="E1025" s="7">
        <v>211</v>
      </c>
      <c r="F1025" s="2" t="s">
        <v>13</v>
      </c>
      <c r="G1025" s="1">
        <v>114</v>
      </c>
      <c r="H1025" s="6">
        <v>97</v>
      </c>
      <c r="I1025" s="1">
        <v>86</v>
      </c>
      <c r="J1025" s="116" t="str">
        <f t="shared" si="15"/>
        <v>평일</v>
      </c>
    </row>
    <row r="1026" spans="1:10" ht="21.75" customHeight="1" x14ac:dyDescent="0.25">
      <c r="A1026" s="2">
        <v>2023</v>
      </c>
      <c r="B1026" s="2">
        <v>7</v>
      </c>
      <c r="C1026" s="2" t="s">
        <v>158</v>
      </c>
      <c r="D1026" s="3">
        <v>45135</v>
      </c>
      <c r="E1026" s="7">
        <v>264</v>
      </c>
      <c r="F1026" s="2" t="s">
        <v>13</v>
      </c>
      <c r="G1026" s="1">
        <v>154</v>
      </c>
      <c r="H1026" s="6">
        <v>110</v>
      </c>
      <c r="I1026" s="1">
        <v>87</v>
      </c>
      <c r="J1026" s="116" t="str">
        <f t="shared" si="15"/>
        <v>평일</v>
      </c>
    </row>
    <row r="1027" spans="1:10" ht="21.75" customHeight="1" x14ac:dyDescent="0.25">
      <c r="A1027" s="2">
        <v>2023</v>
      </c>
      <c r="B1027" s="2">
        <v>7</v>
      </c>
      <c r="C1027" s="2" t="s">
        <v>159</v>
      </c>
      <c r="D1027" s="3">
        <v>45136</v>
      </c>
      <c r="E1027" s="7">
        <v>695</v>
      </c>
      <c r="F1027" s="2" t="s">
        <v>13</v>
      </c>
      <c r="G1027" s="1">
        <v>414</v>
      </c>
      <c r="H1027" s="6">
        <v>281</v>
      </c>
      <c r="I1027" s="1">
        <v>88</v>
      </c>
      <c r="J1027" s="116" t="str">
        <f t="shared" ref="J1027:J1090" si="16">+IF(OR(C1027="토",C1027="일"),"주말","평일")</f>
        <v>주말</v>
      </c>
    </row>
    <row r="1028" spans="1:10" ht="21.75" customHeight="1" x14ac:dyDescent="0.25">
      <c r="A1028" s="2">
        <v>2023</v>
      </c>
      <c r="B1028" s="2">
        <v>7</v>
      </c>
      <c r="C1028" s="2" t="s">
        <v>160</v>
      </c>
      <c r="D1028" s="3">
        <v>45137</v>
      </c>
      <c r="E1028" s="7">
        <v>649</v>
      </c>
      <c r="F1028" s="2" t="s">
        <v>13</v>
      </c>
      <c r="G1028" s="1">
        <v>384</v>
      </c>
      <c r="H1028" s="6">
        <v>265</v>
      </c>
      <c r="I1028" s="1">
        <v>89</v>
      </c>
      <c r="J1028" s="116" t="str">
        <f t="shared" si="16"/>
        <v>주말</v>
      </c>
    </row>
    <row r="1029" spans="1:10" ht="21.75" customHeight="1" x14ac:dyDescent="0.25">
      <c r="A1029" s="2">
        <v>2023</v>
      </c>
      <c r="B1029" s="2">
        <v>7</v>
      </c>
      <c r="C1029" s="2" t="s">
        <v>161</v>
      </c>
      <c r="D1029" s="3">
        <v>45138</v>
      </c>
      <c r="E1029" s="7">
        <v>314</v>
      </c>
      <c r="F1029" s="2" t="s">
        <v>13</v>
      </c>
      <c r="G1029" s="1">
        <v>148</v>
      </c>
      <c r="H1029" s="6">
        <v>166</v>
      </c>
      <c r="I1029" s="1">
        <v>90</v>
      </c>
      <c r="J1029" s="116" t="str">
        <f t="shared" si="16"/>
        <v>평일</v>
      </c>
    </row>
    <row r="1030" spans="1:10" ht="21.75" customHeight="1" x14ac:dyDescent="0.25">
      <c r="A1030" s="2">
        <v>2023</v>
      </c>
      <c r="B1030" s="2">
        <v>8</v>
      </c>
      <c r="C1030" s="2" t="s">
        <v>162</v>
      </c>
      <c r="D1030" s="3">
        <v>45139</v>
      </c>
      <c r="E1030" s="7">
        <v>248</v>
      </c>
      <c r="F1030" s="2" t="s">
        <v>13</v>
      </c>
      <c r="G1030" s="1">
        <v>83</v>
      </c>
      <c r="H1030" s="6">
        <v>165</v>
      </c>
      <c r="I1030" s="1">
        <v>91</v>
      </c>
      <c r="J1030" s="116" t="str">
        <f t="shared" si="16"/>
        <v>평일</v>
      </c>
    </row>
    <row r="1031" spans="1:10" ht="21.75" customHeight="1" x14ac:dyDescent="0.25">
      <c r="A1031" s="2">
        <v>2023</v>
      </c>
      <c r="B1031" s="2">
        <v>8</v>
      </c>
      <c r="C1031" s="2" t="s">
        <v>163</v>
      </c>
      <c r="D1031" s="3">
        <v>45140</v>
      </c>
      <c r="E1031" s="7">
        <v>262</v>
      </c>
      <c r="F1031" s="2" t="s">
        <v>13</v>
      </c>
      <c r="G1031" s="1">
        <v>97</v>
      </c>
      <c r="H1031" s="6">
        <v>165</v>
      </c>
      <c r="I1031" s="1">
        <v>92</v>
      </c>
      <c r="J1031" s="116" t="str">
        <f t="shared" si="16"/>
        <v>평일</v>
      </c>
    </row>
    <row r="1032" spans="1:10" ht="21.75" customHeight="1" x14ac:dyDescent="0.25">
      <c r="A1032" s="2">
        <v>2023</v>
      </c>
      <c r="B1032" s="2">
        <v>8</v>
      </c>
      <c r="C1032" s="2" t="s">
        <v>157</v>
      </c>
      <c r="D1032" s="3">
        <v>45141</v>
      </c>
      <c r="E1032" s="7">
        <v>364</v>
      </c>
      <c r="F1032" s="2" t="s">
        <v>13</v>
      </c>
      <c r="G1032" s="1">
        <v>142</v>
      </c>
      <c r="H1032" s="6">
        <v>222</v>
      </c>
      <c r="I1032" s="1">
        <v>93</v>
      </c>
      <c r="J1032" s="116" t="str">
        <f t="shared" si="16"/>
        <v>평일</v>
      </c>
    </row>
    <row r="1033" spans="1:10" ht="21.75" customHeight="1" x14ac:dyDescent="0.25">
      <c r="A1033" s="2">
        <v>2023</v>
      </c>
      <c r="B1033" s="2">
        <v>8</v>
      </c>
      <c r="C1033" s="2" t="s">
        <v>158</v>
      </c>
      <c r="D1033" s="3">
        <v>45142</v>
      </c>
      <c r="E1033" s="7">
        <v>361</v>
      </c>
      <c r="F1033" s="2" t="s">
        <v>13</v>
      </c>
      <c r="G1033" s="1">
        <v>164</v>
      </c>
      <c r="H1033" s="6">
        <v>197</v>
      </c>
      <c r="I1033" s="1">
        <v>94</v>
      </c>
      <c r="J1033" s="116" t="str">
        <f t="shared" si="16"/>
        <v>평일</v>
      </c>
    </row>
    <row r="1034" spans="1:10" ht="21.75" customHeight="1" x14ac:dyDescent="0.25">
      <c r="A1034" s="2">
        <v>2023</v>
      </c>
      <c r="B1034" s="2">
        <v>8</v>
      </c>
      <c r="C1034" s="2" t="s">
        <v>159</v>
      </c>
      <c r="D1034" s="3">
        <v>45143</v>
      </c>
      <c r="E1034" s="7">
        <v>701</v>
      </c>
      <c r="F1034" s="2" t="s">
        <v>13</v>
      </c>
      <c r="G1034" s="1">
        <v>375</v>
      </c>
      <c r="H1034" s="6">
        <v>326</v>
      </c>
      <c r="I1034" s="1">
        <v>95</v>
      </c>
      <c r="J1034" s="116" t="str">
        <f t="shared" si="16"/>
        <v>주말</v>
      </c>
    </row>
    <row r="1035" spans="1:10" ht="21.75" customHeight="1" x14ac:dyDescent="0.25">
      <c r="A1035" s="2">
        <v>2023</v>
      </c>
      <c r="B1035" s="2">
        <v>8</v>
      </c>
      <c r="C1035" s="2" t="s">
        <v>160</v>
      </c>
      <c r="D1035" s="3">
        <v>45144</v>
      </c>
      <c r="E1035" s="7">
        <v>786</v>
      </c>
      <c r="F1035" s="2" t="s">
        <v>13</v>
      </c>
      <c r="G1035" s="1">
        <v>475</v>
      </c>
      <c r="H1035" s="6">
        <v>311</v>
      </c>
      <c r="I1035" s="1">
        <v>96</v>
      </c>
      <c r="J1035" s="116" t="str">
        <f t="shared" si="16"/>
        <v>주말</v>
      </c>
    </row>
    <row r="1036" spans="1:10" ht="21.75" hidden="1" customHeight="1" x14ac:dyDescent="0.25">
      <c r="A1036" s="2">
        <v>2023</v>
      </c>
      <c r="B1036" s="2">
        <v>8</v>
      </c>
      <c r="C1036" s="2" t="s">
        <v>161</v>
      </c>
      <c r="D1036" s="3">
        <v>45145</v>
      </c>
      <c r="E1036" s="7">
        <v>0</v>
      </c>
      <c r="F1036" s="2">
        <v>0</v>
      </c>
      <c r="G1036" s="1"/>
      <c r="H1036" s="1"/>
      <c r="I1036" s="1">
        <v>266</v>
      </c>
      <c r="J1036" s="116" t="str">
        <f t="shared" si="16"/>
        <v>평일</v>
      </c>
    </row>
    <row r="1037" spans="1:10" ht="21.75" hidden="1" customHeight="1" x14ac:dyDescent="0.25">
      <c r="A1037" s="2">
        <v>2023</v>
      </c>
      <c r="B1037" s="2">
        <v>8</v>
      </c>
      <c r="C1037" s="2" t="s">
        <v>162</v>
      </c>
      <c r="D1037" s="3">
        <v>45146</v>
      </c>
      <c r="E1037" s="7">
        <v>0</v>
      </c>
      <c r="F1037" s="2">
        <v>0</v>
      </c>
      <c r="G1037" s="1"/>
      <c r="H1037" s="1"/>
      <c r="I1037" s="1">
        <v>267</v>
      </c>
      <c r="J1037" s="116" t="str">
        <f t="shared" si="16"/>
        <v>평일</v>
      </c>
    </row>
    <row r="1038" spans="1:10" ht="21.75" hidden="1" customHeight="1" x14ac:dyDescent="0.25">
      <c r="A1038" s="2">
        <v>2023</v>
      </c>
      <c r="B1038" s="2">
        <v>8</v>
      </c>
      <c r="C1038" s="2" t="s">
        <v>163</v>
      </c>
      <c r="D1038" s="3">
        <v>45147</v>
      </c>
      <c r="E1038" s="7">
        <v>0</v>
      </c>
      <c r="F1038" s="2">
        <v>0</v>
      </c>
      <c r="G1038" s="1"/>
      <c r="H1038" s="1"/>
      <c r="I1038" s="1">
        <v>268</v>
      </c>
      <c r="J1038" s="116" t="str">
        <f t="shared" si="16"/>
        <v>평일</v>
      </c>
    </row>
    <row r="1039" spans="1:10" ht="21.75" hidden="1" customHeight="1" x14ac:dyDescent="0.25">
      <c r="A1039" s="2">
        <v>2023</v>
      </c>
      <c r="B1039" s="2">
        <v>8</v>
      </c>
      <c r="C1039" s="2" t="s">
        <v>157</v>
      </c>
      <c r="D1039" s="3">
        <v>45148</v>
      </c>
      <c r="E1039" s="7">
        <v>0</v>
      </c>
      <c r="F1039" s="2">
        <v>0</v>
      </c>
      <c r="G1039" s="1"/>
      <c r="H1039" s="1"/>
      <c r="I1039" s="1">
        <v>269</v>
      </c>
      <c r="J1039" s="116" t="str">
        <f t="shared" si="16"/>
        <v>평일</v>
      </c>
    </row>
    <row r="1040" spans="1:10" ht="21.75" hidden="1" customHeight="1" x14ac:dyDescent="0.25">
      <c r="A1040" s="2">
        <v>2023</v>
      </c>
      <c r="B1040" s="2">
        <v>8</v>
      </c>
      <c r="C1040" s="2" t="s">
        <v>158</v>
      </c>
      <c r="D1040" s="3">
        <v>45149</v>
      </c>
      <c r="E1040" s="7">
        <v>0</v>
      </c>
      <c r="F1040" s="2">
        <v>0</v>
      </c>
      <c r="G1040" s="1"/>
      <c r="H1040" s="1"/>
      <c r="I1040" s="1">
        <v>270</v>
      </c>
      <c r="J1040" s="116" t="str">
        <f t="shared" si="16"/>
        <v>평일</v>
      </c>
    </row>
    <row r="1041" spans="1:10" ht="21.75" hidden="1" customHeight="1" x14ac:dyDescent="0.25">
      <c r="A1041" s="2">
        <v>2023</v>
      </c>
      <c r="B1041" s="2">
        <v>8</v>
      </c>
      <c r="C1041" s="2" t="s">
        <v>159</v>
      </c>
      <c r="D1041" s="3">
        <v>45150</v>
      </c>
      <c r="E1041" s="7">
        <v>0</v>
      </c>
      <c r="F1041" s="2">
        <v>0</v>
      </c>
      <c r="G1041" s="1"/>
      <c r="H1041" s="1"/>
      <c r="I1041" s="1">
        <v>271</v>
      </c>
      <c r="J1041" s="116" t="str">
        <f t="shared" si="16"/>
        <v>주말</v>
      </c>
    </row>
    <row r="1042" spans="1:10" ht="21.75" hidden="1" customHeight="1" x14ac:dyDescent="0.25">
      <c r="A1042" s="2">
        <v>2023</v>
      </c>
      <c r="B1042" s="2">
        <v>8</v>
      </c>
      <c r="C1042" s="2" t="s">
        <v>160</v>
      </c>
      <c r="D1042" s="3">
        <v>45151</v>
      </c>
      <c r="E1042" s="7">
        <v>0</v>
      </c>
      <c r="F1042" s="2">
        <v>0</v>
      </c>
      <c r="G1042" s="1"/>
      <c r="H1042" s="1"/>
      <c r="I1042" s="1">
        <v>272</v>
      </c>
      <c r="J1042" s="116" t="str">
        <f t="shared" si="16"/>
        <v>주말</v>
      </c>
    </row>
    <row r="1043" spans="1:10" ht="21.75" hidden="1" customHeight="1" x14ac:dyDescent="0.25">
      <c r="A1043" s="2">
        <v>2023</v>
      </c>
      <c r="B1043" s="2">
        <v>8</v>
      </c>
      <c r="C1043" s="2" t="s">
        <v>161</v>
      </c>
      <c r="D1043" s="3">
        <v>45152</v>
      </c>
      <c r="E1043" s="7">
        <v>0</v>
      </c>
      <c r="F1043" s="2">
        <v>0</v>
      </c>
      <c r="G1043" s="1"/>
      <c r="H1043" s="1"/>
      <c r="I1043" s="1">
        <v>273</v>
      </c>
      <c r="J1043" s="116" t="str">
        <f t="shared" si="16"/>
        <v>평일</v>
      </c>
    </row>
    <row r="1044" spans="1:10" ht="21.75" hidden="1" customHeight="1" x14ac:dyDescent="0.25">
      <c r="A1044" s="2">
        <v>2023</v>
      </c>
      <c r="B1044" s="2">
        <v>8</v>
      </c>
      <c r="C1044" s="2" t="s">
        <v>162</v>
      </c>
      <c r="D1044" s="3">
        <v>45153</v>
      </c>
      <c r="E1044" s="7">
        <v>0</v>
      </c>
      <c r="F1044" s="2">
        <v>0</v>
      </c>
      <c r="G1044" s="1"/>
      <c r="H1044" s="1"/>
      <c r="I1044" s="1">
        <v>274</v>
      </c>
      <c r="J1044" s="116" t="str">
        <f t="shared" si="16"/>
        <v>평일</v>
      </c>
    </row>
    <row r="1045" spans="1:10" ht="21.75" hidden="1" customHeight="1" x14ac:dyDescent="0.25">
      <c r="A1045" s="2">
        <v>2023</v>
      </c>
      <c r="B1045" s="2">
        <v>8</v>
      </c>
      <c r="C1045" s="2" t="s">
        <v>163</v>
      </c>
      <c r="D1045" s="3">
        <v>45154</v>
      </c>
      <c r="E1045" s="7">
        <v>0</v>
      </c>
      <c r="F1045" s="2">
        <v>0</v>
      </c>
      <c r="G1045" s="1"/>
      <c r="H1045" s="1"/>
      <c r="I1045" s="1">
        <v>275</v>
      </c>
      <c r="J1045" s="116" t="str">
        <f t="shared" si="16"/>
        <v>평일</v>
      </c>
    </row>
    <row r="1046" spans="1:10" ht="21.75" hidden="1" customHeight="1" x14ac:dyDescent="0.25">
      <c r="A1046" s="2">
        <v>2023</v>
      </c>
      <c r="B1046" s="2">
        <v>8</v>
      </c>
      <c r="C1046" s="2" t="s">
        <v>157</v>
      </c>
      <c r="D1046" s="3">
        <v>45155</v>
      </c>
      <c r="E1046" s="7">
        <v>0</v>
      </c>
      <c r="F1046" s="2">
        <v>0</v>
      </c>
      <c r="G1046" s="1"/>
      <c r="H1046" s="1"/>
      <c r="I1046" s="1">
        <v>276</v>
      </c>
      <c r="J1046" s="116" t="str">
        <f t="shared" si="16"/>
        <v>평일</v>
      </c>
    </row>
    <row r="1047" spans="1:10" ht="21.75" hidden="1" customHeight="1" x14ac:dyDescent="0.25">
      <c r="A1047" s="2">
        <v>2023</v>
      </c>
      <c r="B1047" s="2">
        <v>8</v>
      </c>
      <c r="C1047" s="2" t="s">
        <v>158</v>
      </c>
      <c r="D1047" s="3">
        <v>45156</v>
      </c>
      <c r="E1047" s="7">
        <v>0</v>
      </c>
      <c r="F1047" s="2">
        <v>0</v>
      </c>
      <c r="G1047" s="1"/>
      <c r="H1047" s="1"/>
      <c r="I1047" s="1">
        <v>277</v>
      </c>
      <c r="J1047" s="116" t="str">
        <f t="shared" si="16"/>
        <v>평일</v>
      </c>
    </row>
    <row r="1048" spans="1:10" ht="21.75" hidden="1" customHeight="1" x14ac:dyDescent="0.25">
      <c r="A1048" s="2">
        <v>2023</v>
      </c>
      <c r="B1048" s="2">
        <v>8</v>
      </c>
      <c r="C1048" s="2" t="s">
        <v>159</v>
      </c>
      <c r="D1048" s="3">
        <v>45157</v>
      </c>
      <c r="E1048" s="7">
        <v>0</v>
      </c>
      <c r="F1048" s="2">
        <v>0</v>
      </c>
      <c r="G1048" s="1"/>
      <c r="H1048" s="1"/>
      <c r="I1048" s="1">
        <v>278</v>
      </c>
      <c r="J1048" s="116" t="str">
        <f t="shared" si="16"/>
        <v>주말</v>
      </c>
    </row>
    <row r="1049" spans="1:10" ht="21.75" hidden="1" customHeight="1" x14ac:dyDescent="0.25">
      <c r="A1049" s="2">
        <v>2023</v>
      </c>
      <c r="B1049" s="2">
        <v>8</v>
      </c>
      <c r="C1049" s="2" t="s">
        <v>160</v>
      </c>
      <c r="D1049" s="3">
        <v>45158</v>
      </c>
      <c r="E1049" s="7">
        <v>0</v>
      </c>
      <c r="F1049" s="2">
        <v>0</v>
      </c>
      <c r="G1049" s="1"/>
      <c r="H1049" s="1"/>
      <c r="I1049" s="1">
        <v>279</v>
      </c>
      <c r="J1049" s="116" t="str">
        <f t="shared" si="16"/>
        <v>주말</v>
      </c>
    </row>
    <row r="1050" spans="1:10" ht="21.75" hidden="1" customHeight="1" x14ac:dyDescent="0.25">
      <c r="A1050" s="2">
        <v>2023</v>
      </c>
      <c r="B1050" s="2">
        <v>8</v>
      </c>
      <c r="C1050" s="2" t="s">
        <v>161</v>
      </c>
      <c r="D1050" s="3">
        <v>45159</v>
      </c>
      <c r="E1050" s="7">
        <v>0</v>
      </c>
      <c r="F1050" s="2">
        <v>0</v>
      </c>
      <c r="G1050" s="1"/>
      <c r="H1050" s="1"/>
      <c r="I1050" s="1">
        <v>280</v>
      </c>
      <c r="J1050" s="116" t="str">
        <f t="shared" si="16"/>
        <v>평일</v>
      </c>
    </row>
    <row r="1051" spans="1:10" ht="21.75" hidden="1" customHeight="1" x14ac:dyDescent="0.25">
      <c r="A1051" s="2">
        <v>2023</v>
      </c>
      <c r="B1051" s="2">
        <v>8</v>
      </c>
      <c r="C1051" s="2" t="s">
        <v>162</v>
      </c>
      <c r="D1051" s="3">
        <v>45160</v>
      </c>
      <c r="E1051" s="7">
        <v>0</v>
      </c>
      <c r="F1051" s="2">
        <v>0</v>
      </c>
      <c r="G1051" s="1"/>
      <c r="H1051" s="1"/>
      <c r="I1051" s="1">
        <v>281</v>
      </c>
      <c r="J1051" s="116" t="str">
        <f t="shared" si="16"/>
        <v>평일</v>
      </c>
    </row>
    <row r="1052" spans="1:10" ht="21.75" hidden="1" customHeight="1" x14ac:dyDescent="0.25">
      <c r="A1052" s="2">
        <v>2023</v>
      </c>
      <c r="B1052" s="2">
        <v>8</v>
      </c>
      <c r="C1052" s="2" t="s">
        <v>163</v>
      </c>
      <c r="D1052" s="3">
        <v>45161</v>
      </c>
      <c r="E1052" s="7">
        <v>0</v>
      </c>
      <c r="F1052" s="2">
        <v>0</v>
      </c>
      <c r="G1052" s="1"/>
      <c r="H1052" s="1"/>
      <c r="I1052" s="1">
        <v>282</v>
      </c>
      <c r="J1052" s="116" t="str">
        <f t="shared" si="16"/>
        <v>평일</v>
      </c>
    </row>
    <row r="1053" spans="1:10" ht="21.75" hidden="1" customHeight="1" x14ac:dyDescent="0.25">
      <c r="A1053" s="2">
        <v>2023</v>
      </c>
      <c r="B1053" s="2">
        <v>8</v>
      </c>
      <c r="C1053" s="2" t="s">
        <v>157</v>
      </c>
      <c r="D1053" s="3">
        <v>45162</v>
      </c>
      <c r="E1053" s="7">
        <v>0</v>
      </c>
      <c r="F1053" s="2">
        <v>0</v>
      </c>
      <c r="G1053" s="1"/>
      <c r="H1053" s="1"/>
      <c r="I1053" s="1">
        <v>283</v>
      </c>
      <c r="J1053" s="116" t="str">
        <f t="shared" si="16"/>
        <v>평일</v>
      </c>
    </row>
    <row r="1054" spans="1:10" ht="21.75" hidden="1" customHeight="1" x14ac:dyDescent="0.25">
      <c r="A1054" s="2">
        <v>2023</v>
      </c>
      <c r="B1054" s="2">
        <v>8</v>
      </c>
      <c r="C1054" s="2" t="s">
        <v>158</v>
      </c>
      <c r="D1054" s="3">
        <v>45163</v>
      </c>
      <c r="E1054" s="7">
        <v>0</v>
      </c>
      <c r="F1054" s="2">
        <v>0</v>
      </c>
      <c r="G1054" s="1"/>
      <c r="H1054" s="1"/>
      <c r="I1054" s="1">
        <v>284</v>
      </c>
      <c r="J1054" s="116" t="str">
        <f t="shared" si="16"/>
        <v>평일</v>
      </c>
    </row>
    <row r="1055" spans="1:10" ht="21.75" hidden="1" customHeight="1" x14ac:dyDescent="0.25">
      <c r="A1055" s="2">
        <v>2023</v>
      </c>
      <c r="B1055" s="2">
        <v>8</v>
      </c>
      <c r="C1055" s="2" t="s">
        <v>159</v>
      </c>
      <c r="D1055" s="3">
        <v>45164</v>
      </c>
      <c r="E1055" s="7">
        <v>0</v>
      </c>
      <c r="F1055" s="2">
        <v>0</v>
      </c>
      <c r="G1055" s="1"/>
      <c r="H1055" s="1"/>
      <c r="I1055" s="1">
        <v>285</v>
      </c>
      <c r="J1055" s="116" t="str">
        <f t="shared" si="16"/>
        <v>주말</v>
      </c>
    </row>
    <row r="1056" spans="1:10" ht="21.75" hidden="1" customHeight="1" x14ac:dyDescent="0.25">
      <c r="A1056" s="2">
        <v>2023</v>
      </c>
      <c r="B1056" s="2">
        <v>8</v>
      </c>
      <c r="C1056" s="2" t="s">
        <v>160</v>
      </c>
      <c r="D1056" s="3">
        <v>45165</v>
      </c>
      <c r="E1056" s="7">
        <v>0</v>
      </c>
      <c r="F1056" s="2">
        <v>0</v>
      </c>
      <c r="G1056" s="1"/>
      <c r="H1056" s="1"/>
      <c r="I1056" s="1">
        <v>286</v>
      </c>
      <c r="J1056" s="116" t="str">
        <f t="shared" si="16"/>
        <v>주말</v>
      </c>
    </row>
    <row r="1057" spans="1:10" ht="21.75" hidden="1" customHeight="1" x14ac:dyDescent="0.25">
      <c r="A1057" s="2">
        <v>2023</v>
      </c>
      <c r="B1057" s="2">
        <v>8</v>
      </c>
      <c r="C1057" s="2" t="s">
        <v>161</v>
      </c>
      <c r="D1057" s="3">
        <v>45166</v>
      </c>
      <c r="E1057" s="7">
        <v>0</v>
      </c>
      <c r="F1057" s="2">
        <v>0</v>
      </c>
      <c r="G1057" s="1"/>
      <c r="H1057" s="1"/>
      <c r="I1057" s="1">
        <v>287</v>
      </c>
      <c r="J1057" s="116" t="str">
        <f t="shared" si="16"/>
        <v>평일</v>
      </c>
    </row>
    <row r="1058" spans="1:10" ht="21.75" hidden="1" customHeight="1" x14ac:dyDescent="0.25">
      <c r="A1058" s="2">
        <v>2023</v>
      </c>
      <c r="B1058" s="2">
        <v>8</v>
      </c>
      <c r="C1058" s="2" t="s">
        <v>162</v>
      </c>
      <c r="D1058" s="3">
        <v>45167</v>
      </c>
      <c r="E1058" s="7">
        <v>0</v>
      </c>
      <c r="F1058" s="2">
        <v>0</v>
      </c>
      <c r="G1058" s="1"/>
      <c r="H1058" s="1"/>
      <c r="I1058" s="1">
        <v>288</v>
      </c>
      <c r="J1058" s="116" t="str">
        <f t="shared" si="16"/>
        <v>평일</v>
      </c>
    </row>
    <row r="1059" spans="1:10" ht="21.75" hidden="1" customHeight="1" x14ac:dyDescent="0.25">
      <c r="A1059" s="2">
        <v>2023</v>
      </c>
      <c r="B1059" s="2">
        <v>8</v>
      </c>
      <c r="C1059" s="2" t="s">
        <v>163</v>
      </c>
      <c r="D1059" s="3">
        <v>45168</v>
      </c>
      <c r="E1059" s="7">
        <v>0</v>
      </c>
      <c r="F1059" s="2">
        <v>0</v>
      </c>
      <c r="G1059" s="1"/>
      <c r="H1059" s="1"/>
      <c r="I1059" s="1">
        <v>289</v>
      </c>
      <c r="J1059" s="116" t="str">
        <f t="shared" si="16"/>
        <v>평일</v>
      </c>
    </row>
    <row r="1060" spans="1:10" ht="21.75" hidden="1" customHeight="1" x14ac:dyDescent="0.25">
      <c r="A1060" s="2">
        <v>2023</v>
      </c>
      <c r="B1060" s="2">
        <v>8</v>
      </c>
      <c r="C1060" s="2" t="s">
        <v>157</v>
      </c>
      <c r="D1060" s="3">
        <v>45169</v>
      </c>
      <c r="E1060" s="7">
        <v>0</v>
      </c>
      <c r="F1060" s="2">
        <v>0</v>
      </c>
      <c r="G1060" s="1"/>
      <c r="H1060" s="1"/>
      <c r="I1060" s="1">
        <v>290</v>
      </c>
      <c r="J1060" s="116" t="str">
        <f t="shared" si="16"/>
        <v>평일</v>
      </c>
    </row>
    <row r="1061" spans="1:10" ht="21.75" hidden="1" customHeight="1" x14ac:dyDescent="0.25">
      <c r="A1061" s="2">
        <v>2023</v>
      </c>
      <c r="B1061" s="2">
        <v>9</v>
      </c>
      <c r="C1061" s="2" t="s">
        <v>158</v>
      </c>
      <c r="D1061" s="3">
        <v>45170</v>
      </c>
      <c r="E1061" s="7">
        <v>0</v>
      </c>
      <c r="F1061" s="2">
        <v>0</v>
      </c>
      <c r="G1061" s="1"/>
      <c r="H1061" s="1"/>
      <c r="I1061" s="1">
        <v>291</v>
      </c>
      <c r="J1061" s="116" t="str">
        <f t="shared" si="16"/>
        <v>평일</v>
      </c>
    </row>
    <row r="1062" spans="1:10" ht="21.75" hidden="1" customHeight="1" x14ac:dyDescent="0.25">
      <c r="A1062" s="2">
        <v>2023</v>
      </c>
      <c r="B1062" s="2">
        <v>9</v>
      </c>
      <c r="C1062" s="2" t="s">
        <v>159</v>
      </c>
      <c r="D1062" s="3">
        <v>45171</v>
      </c>
      <c r="E1062" s="7">
        <v>0</v>
      </c>
      <c r="F1062" s="2">
        <v>0</v>
      </c>
      <c r="G1062" s="1"/>
      <c r="H1062" s="1"/>
      <c r="I1062" s="1">
        <v>292</v>
      </c>
      <c r="J1062" s="116" t="str">
        <f t="shared" si="16"/>
        <v>주말</v>
      </c>
    </row>
    <row r="1063" spans="1:10" ht="21.75" hidden="1" customHeight="1" x14ac:dyDescent="0.25">
      <c r="A1063" s="2">
        <v>2023</v>
      </c>
      <c r="B1063" s="2">
        <v>9</v>
      </c>
      <c r="C1063" s="2" t="s">
        <v>160</v>
      </c>
      <c r="D1063" s="3">
        <v>45172</v>
      </c>
      <c r="E1063" s="7">
        <v>0</v>
      </c>
      <c r="F1063" s="2">
        <v>0</v>
      </c>
      <c r="G1063" s="1"/>
      <c r="H1063" s="1"/>
      <c r="I1063" s="1">
        <v>293</v>
      </c>
      <c r="J1063" s="116" t="str">
        <f t="shared" si="16"/>
        <v>주말</v>
      </c>
    </row>
    <row r="1064" spans="1:10" ht="21.75" hidden="1" customHeight="1" x14ac:dyDescent="0.25">
      <c r="A1064" s="2">
        <v>2023</v>
      </c>
      <c r="B1064" s="2">
        <v>9</v>
      </c>
      <c r="C1064" s="2" t="s">
        <v>161</v>
      </c>
      <c r="D1064" s="3">
        <v>45173</v>
      </c>
      <c r="E1064" s="7">
        <v>0</v>
      </c>
      <c r="F1064" s="2">
        <v>0</v>
      </c>
      <c r="G1064" s="1"/>
      <c r="H1064" s="1"/>
      <c r="I1064" s="1">
        <v>294</v>
      </c>
      <c r="J1064" s="116" t="str">
        <f t="shared" si="16"/>
        <v>평일</v>
      </c>
    </row>
    <row r="1065" spans="1:10" ht="21.75" hidden="1" customHeight="1" x14ac:dyDescent="0.25">
      <c r="A1065" s="2">
        <v>2023</v>
      </c>
      <c r="B1065" s="2">
        <v>9</v>
      </c>
      <c r="C1065" s="2" t="s">
        <v>162</v>
      </c>
      <c r="D1065" s="3">
        <v>45174</v>
      </c>
      <c r="E1065" s="7">
        <v>0</v>
      </c>
      <c r="F1065" s="2">
        <v>0</v>
      </c>
      <c r="G1065" s="1"/>
      <c r="H1065" s="1"/>
      <c r="I1065" s="1">
        <v>295</v>
      </c>
      <c r="J1065" s="116" t="str">
        <f t="shared" si="16"/>
        <v>평일</v>
      </c>
    </row>
    <row r="1066" spans="1:10" ht="21.75" hidden="1" customHeight="1" x14ac:dyDescent="0.25">
      <c r="A1066" s="2">
        <v>2023</v>
      </c>
      <c r="B1066" s="2">
        <v>9</v>
      </c>
      <c r="C1066" s="2" t="s">
        <v>163</v>
      </c>
      <c r="D1066" s="3">
        <v>45175</v>
      </c>
      <c r="E1066" s="7">
        <v>0</v>
      </c>
      <c r="F1066" s="2">
        <v>0</v>
      </c>
      <c r="G1066" s="1"/>
      <c r="H1066" s="1"/>
      <c r="I1066" s="1">
        <v>296</v>
      </c>
      <c r="J1066" s="116" t="str">
        <f t="shared" si="16"/>
        <v>평일</v>
      </c>
    </row>
    <row r="1067" spans="1:10" ht="21.75" hidden="1" customHeight="1" x14ac:dyDescent="0.25">
      <c r="A1067" s="2">
        <v>2023</v>
      </c>
      <c r="B1067" s="2">
        <v>9</v>
      </c>
      <c r="C1067" s="2" t="s">
        <v>157</v>
      </c>
      <c r="D1067" s="3">
        <v>45176</v>
      </c>
      <c r="E1067" s="7">
        <v>0</v>
      </c>
      <c r="F1067" s="2">
        <v>0</v>
      </c>
      <c r="G1067" s="1"/>
      <c r="H1067" s="1"/>
      <c r="I1067" s="1">
        <v>297</v>
      </c>
      <c r="J1067" s="116" t="str">
        <f t="shared" si="16"/>
        <v>평일</v>
      </c>
    </row>
    <row r="1068" spans="1:10" ht="21.75" hidden="1" customHeight="1" x14ac:dyDescent="0.25">
      <c r="A1068" s="2">
        <v>2023</v>
      </c>
      <c r="B1068" s="2">
        <v>9</v>
      </c>
      <c r="C1068" s="2" t="s">
        <v>158</v>
      </c>
      <c r="D1068" s="3">
        <v>45177</v>
      </c>
      <c r="E1068" s="7">
        <v>0</v>
      </c>
      <c r="F1068" s="2">
        <v>0</v>
      </c>
      <c r="G1068" s="1"/>
      <c r="H1068" s="1"/>
      <c r="I1068" s="1">
        <v>298</v>
      </c>
      <c r="J1068" s="116" t="str">
        <f t="shared" si="16"/>
        <v>평일</v>
      </c>
    </row>
    <row r="1069" spans="1:10" ht="21.75" hidden="1" customHeight="1" x14ac:dyDescent="0.25">
      <c r="A1069" s="2">
        <v>2023</v>
      </c>
      <c r="B1069" s="2">
        <v>9</v>
      </c>
      <c r="C1069" s="2" t="s">
        <v>159</v>
      </c>
      <c r="D1069" s="3">
        <v>45178</v>
      </c>
      <c r="E1069" s="7">
        <v>0</v>
      </c>
      <c r="F1069" s="2">
        <v>0</v>
      </c>
      <c r="G1069" s="1"/>
      <c r="H1069" s="1"/>
      <c r="I1069" s="1">
        <v>299</v>
      </c>
      <c r="J1069" s="116" t="str">
        <f t="shared" si="16"/>
        <v>주말</v>
      </c>
    </row>
    <row r="1070" spans="1:10" ht="21.75" hidden="1" customHeight="1" x14ac:dyDescent="0.25">
      <c r="A1070" s="2">
        <v>2023</v>
      </c>
      <c r="B1070" s="2">
        <v>9</v>
      </c>
      <c r="C1070" s="2" t="s">
        <v>160</v>
      </c>
      <c r="D1070" s="3">
        <v>45179</v>
      </c>
      <c r="E1070" s="7">
        <v>0</v>
      </c>
      <c r="F1070" s="2">
        <v>0</v>
      </c>
      <c r="G1070" s="1"/>
      <c r="H1070" s="1"/>
      <c r="I1070" s="1">
        <v>300</v>
      </c>
      <c r="J1070" s="116" t="str">
        <f t="shared" si="16"/>
        <v>주말</v>
      </c>
    </row>
    <row r="1071" spans="1:10" ht="21.75" hidden="1" customHeight="1" x14ac:dyDescent="0.25">
      <c r="A1071" s="2">
        <v>2023</v>
      </c>
      <c r="B1071" s="2">
        <v>9</v>
      </c>
      <c r="C1071" s="2" t="s">
        <v>161</v>
      </c>
      <c r="D1071" s="3">
        <v>45180</v>
      </c>
      <c r="E1071" s="7">
        <v>0</v>
      </c>
      <c r="F1071" s="2">
        <v>0</v>
      </c>
      <c r="G1071" s="1"/>
      <c r="H1071" s="1"/>
      <c r="I1071" s="1">
        <v>301</v>
      </c>
      <c r="J1071" s="116" t="str">
        <f t="shared" si="16"/>
        <v>평일</v>
      </c>
    </row>
    <row r="1072" spans="1:10" ht="21.75" hidden="1" customHeight="1" x14ac:dyDescent="0.25">
      <c r="A1072" s="2">
        <v>2023</v>
      </c>
      <c r="B1072" s="2">
        <v>9</v>
      </c>
      <c r="C1072" s="2" t="s">
        <v>162</v>
      </c>
      <c r="D1072" s="3">
        <v>45181</v>
      </c>
      <c r="E1072" s="7">
        <v>0</v>
      </c>
      <c r="F1072" s="2">
        <v>0</v>
      </c>
      <c r="G1072" s="1"/>
      <c r="H1072" s="1"/>
      <c r="I1072" s="1">
        <v>302</v>
      </c>
      <c r="J1072" s="116" t="str">
        <f t="shared" si="16"/>
        <v>평일</v>
      </c>
    </row>
    <row r="1073" spans="1:10" ht="21.75" hidden="1" customHeight="1" x14ac:dyDescent="0.25">
      <c r="A1073" s="2">
        <v>2023</v>
      </c>
      <c r="B1073" s="2">
        <v>9</v>
      </c>
      <c r="C1073" s="2" t="s">
        <v>163</v>
      </c>
      <c r="D1073" s="3">
        <v>45182</v>
      </c>
      <c r="E1073" s="7">
        <v>0</v>
      </c>
      <c r="F1073" s="2">
        <v>0</v>
      </c>
      <c r="G1073" s="1"/>
      <c r="H1073" s="1"/>
      <c r="I1073" s="1">
        <v>303</v>
      </c>
      <c r="J1073" s="116" t="str">
        <f t="shared" si="16"/>
        <v>평일</v>
      </c>
    </row>
    <row r="1074" spans="1:10" ht="21.75" hidden="1" customHeight="1" x14ac:dyDescent="0.25">
      <c r="A1074" s="2">
        <v>2023</v>
      </c>
      <c r="B1074" s="2">
        <v>9</v>
      </c>
      <c r="C1074" s="2" t="s">
        <v>157</v>
      </c>
      <c r="D1074" s="3">
        <v>45183</v>
      </c>
      <c r="E1074" s="7">
        <v>0</v>
      </c>
      <c r="F1074" s="2">
        <v>0</v>
      </c>
      <c r="G1074" s="1"/>
      <c r="H1074" s="1"/>
      <c r="I1074" s="1">
        <v>304</v>
      </c>
      <c r="J1074" s="116" t="str">
        <f t="shared" si="16"/>
        <v>평일</v>
      </c>
    </row>
    <row r="1075" spans="1:10" ht="21.75" hidden="1" customHeight="1" x14ac:dyDescent="0.25">
      <c r="A1075" s="2">
        <v>2023</v>
      </c>
      <c r="B1075" s="2">
        <v>9</v>
      </c>
      <c r="C1075" s="2" t="s">
        <v>158</v>
      </c>
      <c r="D1075" s="3">
        <v>45184</v>
      </c>
      <c r="E1075" s="7">
        <v>0</v>
      </c>
      <c r="F1075" s="2">
        <v>0</v>
      </c>
      <c r="G1075" s="1"/>
      <c r="H1075" s="1"/>
      <c r="I1075" s="1">
        <v>305</v>
      </c>
      <c r="J1075" s="116" t="str">
        <f t="shared" si="16"/>
        <v>평일</v>
      </c>
    </row>
    <row r="1076" spans="1:10" ht="21.75" hidden="1" customHeight="1" x14ac:dyDescent="0.25">
      <c r="A1076" s="2">
        <v>2023</v>
      </c>
      <c r="B1076" s="2">
        <v>9</v>
      </c>
      <c r="C1076" s="2" t="s">
        <v>159</v>
      </c>
      <c r="D1076" s="3">
        <v>45185</v>
      </c>
      <c r="E1076" s="7">
        <v>0</v>
      </c>
      <c r="F1076" s="2">
        <v>0</v>
      </c>
      <c r="G1076" s="1"/>
      <c r="H1076" s="1"/>
      <c r="I1076" s="1">
        <v>306</v>
      </c>
      <c r="J1076" s="116" t="str">
        <f t="shared" si="16"/>
        <v>주말</v>
      </c>
    </row>
    <row r="1077" spans="1:10" ht="21.75" hidden="1" customHeight="1" x14ac:dyDescent="0.25">
      <c r="A1077" s="2">
        <v>2023</v>
      </c>
      <c r="B1077" s="2">
        <v>9</v>
      </c>
      <c r="C1077" s="2" t="s">
        <v>160</v>
      </c>
      <c r="D1077" s="3">
        <v>45186</v>
      </c>
      <c r="E1077" s="7">
        <v>0</v>
      </c>
      <c r="F1077" s="2">
        <v>0</v>
      </c>
      <c r="G1077" s="1"/>
      <c r="H1077" s="1"/>
      <c r="I1077" s="1">
        <v>307</v>
      </c>
      <c r="J1077" s="116" t="str">
        <f t="shared" si="16"/>
        <v>주말</v>
      </c>
    </row>
    <row r="1078" spans="1:10" ht="21.75" hidden="1" customHeight="1" x14ac:dyDescent="0.25">
      <c r="A1078" s="2">
        <v>2023</v>
      </c>
      <c r="B1078" s="2">
        <v>9</v>
      </c>
      <c r="C1078" s="2" t="s">
        <v>161</v>
      </c>
      <c r="D1078" s="3">
        <v>45187</v>
      </c>
      <c r="E1078" s="7">
        <v>0</v>
      </c>
      <c r="F1078" s="2">
        <v>0</v>
      </c>
      <c r="G1078" s="1"/>
      <c r="H1078" s="1"/>
      <c r="I1078" s="1">
        <v>308</v>
      </c>
      <c r="J1078" s="116" t="str">
        <f t="shared" si="16"/>
        <v>평일</v>
      </c>
    </row>
    <row r="1079" spans="1:10" ht="21.75" hidden="1" customHeight="1" x14ac:dyDescent="0.25">
      <c r="A1079" s="2">
        <v>2023</v>
      </c>
      <c r="B1079" s="2">
        <v>9</v>
      </c>
      <c r="C1079" s="2" t="s">
        <v>162</v>
      </c>
      <c r="D1079" s="3">
        <v>45188</v>
      </c>
      <c r="E1079" s="7">
        <v>0</v>
      </c>
      <c r="F1079" s="2">
        <v>0</v>
      </c>
      <c r="G1079" s="1"/>
      <c r="H1079" s="1"/>
      <c r="I1079" s="1">
        <v>309</v>
      </c>
      <c r="J1079" s="116" t="str">
        <f t="shared" si="16"/>
        <v>평일</v>
      </c>
    </row>
    <row r="1080" spans="1:10" ht="21.75" hidden="1" customHeight="1" x14ac:dyDescent="0.25">
      <c r="A1080" s="2">
        <v>2023</v>
      </c>
      <c r="B1080" s="2">
        <v>9</v>
      </c>
      <c r="C1080" s="2" t="s">
        <v>163</v>
      </c>
      <c r="D1080" s="3">
        <v>45189</v>
      </c>
      <c r="E1080" s="7">
        <v>0</v>
      </c>
      <c r="F1080" s="2">
        <v>0</v>
      </c>
      <c r="G1080" s="1"/>
      <c r="H1080" s="1"/>
      <c r="I1080" s="1">
        <v>310</v>
      </c>
      <c r="J1080" s="116" t="str">
        <f t="shared" si="16"/>
        <v>평일</v>
      </c>
    </row>
    <row r="1081" spans="1:10" ht="21.75" hidden="1" customHeight="1" x14ac:dyDescent="0.25">
      <c r="A1081" s="2">
        <v>2023</v>
      </c>
      <c r="B1081" s="2">
        <v>9</v>
      </c>
      <c r="C1081" s="2" t="s">
        <v>157</v>
      </c>
      <c r="D1081" s="3">
        <v>45190</v>
      </c>
      <c r="E1081" s="7">
        <v>0</v>
      </c>
      <c r="F1081" s="2">
        <v>0</v>
      </c>
      <c r="G1081" s="1"/>
      <c r="H1081" s="1"/>
      <c r="I1081" s="1">
        <v>311</v>
      </c>
      <c r="J1081" s="116" t="str">
        <f t="shared" si="16"/>
        <v>평일</v>
      </c>
    </row>
    <row r="1082" spans="1:10" ht="21.75" hidden="1" customHeight="1" x14ac:dyDescent="0.25">
      <c r="A1082" s="2">
        <v>2023</v>
      </c>
      <c r="B1082" s="2">
        <v>9</v>
      </c>
      <c r="C1082" s="2" t="s">
        <v>158</v>
      </c>
      <c r="D1082" s="3">
        <v>45191</v>
      </c>
      <c r="E1082" s="7">
        <v>0</v>
      </c>
      <c r="F1082" s="2">
        <v>0</v>
      </c>
      <c r="G1082" s="1"/>
      <c r="H1082" s="1"/>
      <c r="I1082" s="1">
        <v>312</v>
      </c>
      <c r="J1082" s="116" t="str">
        <f t="shared" si="16"/>
        <v>평일</v>
      </c>
    </row>
    <row r="1083" spans="1:10" ht="21.75" hidden="1" customHeight="1" x14ac:dyDescent="0.25">
      <c r="A1083" s="2">
        <v>2023</v>
      </c>
      <c r="B1083" s="2">
        <v>9</v>
      </c>
      <c r="C1083" s="2" t="s">
        <v>159</v>
      </c>
      <c r="D1083" s="3">
        <v>45192</v>
      </c>
      <c r="E1083" s="7">
        <v>0</v>
      </c>
      <c r="F1083" s="2">
        <v>0</v>
      </c>
      <c r="G1083" s="1"/>
      <c r="H1083" s="1"/>
      <c r="I1083" s="1">
        <v>313</v>
      </c>
      <c r="J1083" s="116" t="str">
        <f t="shared" si="16"/>
        <v>주말</v>
      </c>
    </row>
    <row r="1084" spans="1:10" ht="21.75" hidden="1" customHeight="1" x14ac:dyDescent="0.25">
      <c r="A1084" s="2">
        <v>2023</v>
      </c>
      <c r="B1084" s="2">
        <v>9</v>
      </c>
      <c r="C1084" s="2" t="s">
        <v>160</v>
      </c>
      <c r="D1084" s="3">
        <v>45193</v>
      </c>
      <c r="E1084" s="7">
        <v>0</v>
      </c>
      <c r="F1084" s="2">
        <v>0</v>
      </c>
      <c r="G1084" s="1"/>
      <c r="H1084" s="1"/>
      <c r="I1084" s="1">
        <v>314</v>
      </c>
      <c r="J1084" s="116" t="str">
        <f t="shared" si="16"/>
        <v>주말</v>
      </c>
    </row>
    <row r="1085" spans="1:10" ht="21.75" hidden="1" customHeight="1" x14ac:dyDescent="0.25">
      <c r="A1085" s="2">
        <v>2023</v>
      </c>
      <c r="B1085" s="2">
        <v>9</v>
      </c>
      <c r="C1085" s="2" t="s">
        <v>161</v>
      </c>
      <c r="D1085" s="3">
        <v>45194</v>
      </c>
      <c r="E1085" s="7">
        <v>0</v>
      </c>
      <c r="F1085" s="2">
        <v>0</v>
      </c>
      <c r="G1085" s="1"/>
      <c r="H1085" s="1"/>
      <c r="I1085" s="1">
        <v>315</v>
      </c>
      <c r="J1085" s="116" t="str">
        <f t="shared" si="16"/>
        <v>평일</v>
      </c>
    </row>
    <row r="1086" spans="1:10" ht="21.75" customHeight="1" x14ac:dyDescent="0.25">
      <c r="A1086" s="2">
        <v>2023</v>
      </c>
      <c r="B1086" s="2">
        <v>9</v>
      </c>
      <c r="C1086" s="2" t="s">
        <v>162</v>
      </c>
      <c r="D1086" s="3">
        <v>45195</v>
      </c>
      <c r="E1086" s="7">
        <v>227</v>
      </c>
      <c r="F1086" s="2" t="s">
        <v>14</v>
      </c>
      <c r="G1086" s="1">
        <v>31</v>
      </c>
      <c r="H1086" s="6">
        <v>196</v>
      </c>
      <c r="I1086" s="1">
        <v>1</v>
      </c>
      <c r="J1086" s="116" t="str">
        <f t="shared" si="16"/>
        <v>평일</v>
      </c>
    </row>
    <row r="1087" spans="1:10" ht="21.75" customHeight="1" x14ac:dyDescent="0.25">
      <c r="A1087" s="2">
        <v>2023</v>
      </c>
      <c r="B1087" s="2">
        <v>9</v>
      </c>
      <c r="C1087" s="2" t="s">
        <v>163</v>
      </c>
      <c r="D1087" s="3">
        <v>45196</v>
      </c>
      <c r="E1087" s="7">
        <v>274</v>
      </c>
      <c r="F1087" s="2" t="s">
        <v>14</v>
      </c>
      <c r="G1087" s="1">
        <v>21</v>
      </c>
      <c r="H1087" s="6">
        <v>253</v>
      </c>
      <c r="I1087" s="1">
        <v>2</v>
      </c>
      <c r="J1087" s="116" t="str">
        <f t="shared" si="16"/>
        <v>평일</v>
      </c>
    </row>
    <row r="1088" spans="1:10" ht="21.75" customHeight="1" x14ac:dyDescent="0.25">
      <c r="A1088" s="2">
        <v>2023</v>
      </c>
      <c r="B1088" s="2">
        <v>9</v>
      </c>
      <c r="C1088" s="2" t="s">
        <v>157</v>
      </c>
      <c r="D1088" s="3">
        <v>45197</v>
      </c>
      <c r="E1088" s="7">
        <v>124</v>
      </c>
      <c r="F1088" s="2" t="s">
        <v>14</v>
      </c>
      <c r="G1088" s="1">
        <v>24</v>
      </c>
      <c r="H1088" s="6">
        <v>100</v>
      </c>
      <c r="I1088" s="1">
        <v>3</v>
      </c>
      <c r="J1088" s="116" t="str">
        <f t="shared" si="16"/>
        <v>평일</v>
      </c>
    </row>
    <row r="1089" spans="1:10" ht="21.75" customHeight="1" x14ac:dyDescent="0.25">
      <c r="A1089" s="2">
        <v>2023</v>
      </c>
      <c r="B1089" s="2">
        <v>9</v>
      </c>
      <c r="C1089" s="2" t="s">
        <v>158</v>
      </c>
      <c r="D1089" s="3">
        <v>45198</v>
      </c>
      <c r="E1089" s="7">
        <v>105</v>
      </c>
      <c r="F1089" s="2" t="s">
        <v>14</v>
      </c>
      <c r="G1089" s="1">
        <v>10</v>
      </c>
      <c r="H1089" s="6">
        <v>95</v>
      </c>
      <c r="I1089" s="1">
        <v>4</v>
      </c>
      <c r="J1089" s="116" t="str">
        <f t="shared" si="16"/>
        <v>평일</v>
      </c>
    </row>
    <row r="1090" spans="1:10" ht="21.75" customHeight="1" x14ac:dyDescent="0.25">
      <c r="A1090" s="2">
        <v>2023</v>
      </c>
      <c r="B1090" s="2">
        <v>9</v>
      </c>
      <c r="C1090" s="2" t="s">
        <v>159</v>
      </c>
      <c r="D1090" s="3">
        <v>45199</v>
      </c>
      <c r="E1090" s="7">
        <v>413</v>
      </c>
      <c r="F1090" s="2" t="s">
        <v>14</v>
      </c>
      <c r="G1090" s="1">
        <v>33</v>
      </c>
      <c r="H1090" s="6">
        <v>380</v>
      </c>
      <c r="I1090" s="1">
        <v>5</v>
      </c>
      <c r="J1090" s="116" t="str">
        <f t="shared" si="16"/>
        <v>주말</v>
      </c>
    </row>
    <row r="1091" spans="1:10" ht="21.75" customHeight="1" x14ac:dyDescent="0.25">
      <c r="A1091" s="2">
        <v>2023</v>
      </c>
      <c r="B1091" s="2">
        <v>10</v>
      </c>
      <c r="C1091" s="2" t="s">
        <v>160</v>
      </c>
      <c r="D1091" s="3">
        <v>45200</v>
      </c>
      <c r="E1091" s="7">
        <v>305</v>
      </c>
      <c r="F1091" s="2" t="s">
        <v>14</v>
      </c>
      <c r="G1091" s="1">
        <v>40</v>
      </c>
      <c r="H1091" s="6">
        <v>265</v>
      </c>
      <c r="I1091" s="1">
        <v>6</v>
      </c>
      <c r="J1091" s="116" t="str">
        <f t="shared" ref="J1091:J1154" si="17">+IF(OR(C1091="토",C1091="일"),"주말","평일")</f>
        <v>주말</v>
      </c>
    </row>
    <row r="1092" spans="1:10" ht="21.75" customHeight="1" x14ac:dyDescent="0.25">
      <c r="A1092" s="2">
        <v>2023</v>
      </c>
      <c r="B1092" s="2">
        <v>10</v>
      </c>
      <c r="C1092" s="2" t="s">
        <v>161</v>
      </c>
      <c r="D1092" s="3">
        <v>45201</v>
      </c>
      <c r="E1092" s="7">
        <v>349</v>
      </c>
      <c r="F1092" s="2" t="s">
        <v>14</v>
      </c>
      <c r="G1092" s="1">
        <v>30</v>
      </c>
      <c r="H1092" s="6">
        <v>319</v>
      </c>
      <c r="I1092" s="1">
        <v>7</v>
      </c>
      <c r="J1092" s="116" t="str">
        <f t="shared" si="17"/>
        <v>평일</v>
      </c>
    </row>
    <row r="1093" spans="1:10" ht="21.75" customHeight="1" x14ac:dyDescent="0.25">
      <c r="A1093" s="2">
        <v>2023</v>
      </c>
      <c r="B1093" s="2">
        <v>10</v>
      </c>
      <c r="C1093" s="2" t="s">
        <v>162</v>
      </c>
      <c r="D1093" s="3">
        <v>45202</v>
      </c>
      <c r="E1093" s="7">
        <v>336</v>
      </c>
      <c r="F1093" s="2" t="s">
        <v>14</v>
      </c>
      <c r="G1093" s="1">
        <v>32</v>
      </c>
      <c r="H1093" s="6">
        <v>304</v>
      </c>
      <c r="I1093" s="1">
        <v>8</v>
      </c>
      <c r="J1093" s="116" t="str">
        <f t="shared" si="17"/>
        <v>평일</v>
      </c>
    </row>
    <row r="1094" spans="1:10" ht="21.75" customHeight="1" x14ac:dyDescent="0.25">
      <c r="A1094" s="2">
        <v>2023</v>
      </c>
      <c r="B1094" s="2">
        <v>10</v>
      </c>
      <c r="C1094" s="2" t="s">
        <v>163</v>
      </c>
      <c r="D1094" s="3">
        <v>45203</v>
      </c>
      <c r="E1094" s="7">
        <v>120</v>
      </c>
      <c r="F1094" s="2" t="s">
        <v>14</v>
      </c>
      <c r="G1094" s="1">
        <v>20</v>
      </c>
      <c r="H1094" s="6">
        <v>100</v>
      </c>
      <c r="I1094" s="1">
        <v>9</v>
      </c>
      <c r="J1094" s="116" t="str">
        <f t="shared" si="17"/>
        <v>평일</v>
      </c>
    </row>
    <row r="1095" spans="1:10" ht="21.75" customHeight="1" x14ac:dyDescent="0.25">
      <c r="A1095" s="2">
        <v>2023</v>
      </c>
      <c r="B1095" s="2">
        <v>10</v>
      </c>
      <c r="C1095" s="2" t="s">
        <v>157</v>
      </c>
      <c r="D1095" s="3">
        <v>45204</v>
      </c>
      <c r="E1095" s="7">
        <v>96</v>
      </c>
      <c r="F1095" s="2" t="s">
        <v>14</v>
      </c>
      <c r="G1095" s="1">
        <v>3</v>
      </c>
      <c r="H1095" s="6">
        <v>93</v>
      </c>
      <c r="I1095" s="1">
        <v>10</v>
      </c>
      <c r="J1095" s="116" t="str">
        <f t="shared" si="17"/>
        <v>평일</v>
      </c>
    </row>
    <row r="1096" spans="1:10" ht="21.75" customHeight="1" x14ac:dyDescent="0.25">
      <c r="A1096" s="2">
        <v>2023</v>
      </c>
      <c r="B1096" s="2">
        <v>10</v>
      </c>
      <c r="C1096" s="2" t="s">
        <v>158</v>
      </c>
      <c r="D1096" s="3">
        <v>45205</v>
      </c>
      <c r="E1096" s="7">
        <v>202</v>
      </c>
      <c r="F1096" s="2" t="s">
        <v>14</v>
      </c>
      <c r="G1096" s="1">
        <v>8</v>
      </c>
      <c r="H1096" s="6">
        <v>194</v>
      </c>
      <c r="I1096" s="1">
        <v>11</v>
      </c>
      <c r="J1096" s="116" t="str">
        <f t="shared" si="17"/>
        <v>평일</v>
      </c>
    </row>
    <row r="1097" spans="1:10" ht="21.75" customHeight="1" x14ac:dyDescent="0.25">
      <c r="A1097" s="2">
        <v>2023</v>
      </c>
      <c r="B1097" s="2">
        <v>10</v>
      </c>
      <c r="C1097" s="2" t="s">
        <v>159</v>
      </c>
      <c r="D1097" s="3">
        <v>45206</v>
      </c>
      <c r="E1097" s="7">
        <v>383</v>
      </c>
      <c r="F1097" s="2" t="s">
        <v>14</v>
      </c>
      <c r="G1097" s="1">
        <v>39</v>
      </c>
      <c r="H1097" s="6">
        <v>344</v>
      </c>
      <c r="I1097" s="1">
        <v>12</v>
      </c>
      <c r="J1097" s="116" t="str">
        <f t="shared" si="17"/>
        <v>주말</v>
      </c>
    </row>
    <row r="1098" spans="1:10" ht="21.75" customHeight="1" x14ac:dyDescent="0.25">
      <c r="A1098" s="2">
        <v>2023</v>
      </c>
      <c r="B1098" s="2">
        <v>10</v>
      </c>
      <c r="C1098" s="2" t="s">
        <v>160</v>
      </c>
      <c r="D1098" s="3">
        <v>45207</v>
      </c>
      <c r="E1098" s="7">
        <v>404</v>
      </c>
      <c r="F1098" s="2" t="s">
        <v>14</v>
      </c>
      <c r="G1098" s="1">
        <v>32</v>
      </c>
      <c r="H1098" s="6">
        <v>372</v>
      </c>
      <c r="I1098" s="1">
        <v>13</v>
      </c>
      <c r="J1098" s="116" t="str">
        <f t="shared" si="17"/>
        <v>주말</v>
      </c>
    </row>
    <row r="1099" spans="1:10" ht="21.75" customHeight="1" x14ac:dyDescent="0.25">
      <c r="A1099" s="2">
        <v>2023</v>
      </c>
      <c r="B1099" s="2">
        <v>10</v>
      </c>
      <c r="C1099" s="2" t="s">
        <v>161</v>
      </c>
      <c r="D1099" s="3">
        <v>45208</v>
      </c>
      <c r="E1099" s="7">
        <v>371</v>
      </c>
      <c r="F1099" s="2" t="s">
        <v>14</v>
      </c>
      <c r="G1099" s="1">
        <v>35</v>
      </c>
      <c r="H1099" s="6">
        <v>336</v>
      </c>
      <c r="I1099" s="1">
        <v>14</v>
      </c>
      <c r="J1099" s="116" t="str">
        <f t="shared" si="17"/>
        <v>평일</v>
      </c>
    </row>
    <row r="1100" spans="1:10" ht="21.75" customHeight="1" x14ac:dyDescent="0.25">
      <c r="A1100" s="2">
        <v>2023</v>
      </c>
      <c r="B1100" s="2">
        <v>10</v>
      </c>
      <c r="C1100" s="2" t="s">
        <v>162</v>
      </c>
      <c r="D1100" s="3">
        <v>45209</v>
      </c>
      <c r="E1100" s="7">
        <v>126</v>
      </c>
      <c r="F1100" s="2" t="s">
        <v>14</v>
      </c>
      <c r="G1100" s="1">
        <v>6</v>
      </c>
      <c r="H1100" s="6">
        <v>120</v>
      </c>
      <c r="I1100" s="1">
        <v>15</v>
      </c>
      <c r="J1100" s="116" t="str">
        <f t="shared" si="17"/>
        <v>평일</v>
      </c>
    </row>
    <row r="1101" spans="1:10" ht="21.75" customHeight="1" x14ac:dyDescent="0.25">
      <c r="A1101" s="2">
        <v>2023</v>
      </c>
      <c r="B1101" s="2">
        <v>10</v>
      </c>
      <c r="C1101" s="2" t="s">
        <v>163</v>
      </c>
      <c r="D1101" s="3">
        <v>45210</v>
      </c>
      <c r="E1101" s="7">
        <v>99</v>
      </c>
      <c r="F1101" s="2" t="s">
        <v>14</v>
      </c>
      <c r="G1101" s="1">
        <v>8</v>
      </c>
      <c r="H1101" s="6">
        <v>91</v>
      </c>
      <c r="I1101" s="1">
        <v>16</v>
      </c>
      <c r="J1101" s="116" t="str">
        <f t="shared" si="17"/>
        <v>평일</v>
      </c>
    </row>
    <row r="1102" spans="1:10" ht="21.75" customHeight="1" x14ac:dyDescent="0.25">
      <c r="A1102" s="2">
        <v>2023</v>
      </c>
      <c r="B1102" s="2">
        <v>10</v>
      </c>
      <c r="C1102" s="2" t="s">
        <v>157</v>
      </c>
      <c r="D1102" s="3">
        <v>45211</v>
      </c>
      <c r="E1102" s="7">
        <v>236</v>
      </c>
      <c r="F1102" s="2" t="s">
        <v>14</v>
      </c>
      <c r="G1102" s="1">
        <v>25</v>
      </c>
      <c r="H1102" s="6">
        <v>211</v>
      </c>
      <c r="I1102" s="1">
        <v>17</v>
      </c>
      <c r="J1102" s="116" t="str">
        <f t="shared" si="17"/>
        <v>평일</v>
      </c>
    </row>
    <row r="1103" spans="1:10" ht="21.75" customHeight="1" x14ac:dyDescent="0.25">
      <c r="A1103" s="2">
        <v>2023</v>
      </c>
      <c r="B1103" s="2">
        <v>10</v>
      </c>
      <c r="C1103" s="2" t="s">
        <v>158</v>
      </c>
      <c r="D1103" s="3">
        <v>45212</v>
      </c>
      <c r="E1103" s="7">
        <v>189</v>
      </c>
      <c r="F1103" s="2" t="s">
        <v>14</v>
      </c>
      <c r="G1103" s="1">
        <v>21</v>
      </c>
      <c r="H1103" s="6">
        <v>168</v>
      </c>
      <c r="I1103" s="1">
        <v>18</v>
      </c>
      <c r="J1103" s="116" t="str">
        <f t="shared" si="17"/>
        <v>평일</v>
      </c>
    </row>
    <row r="1104" spans="1:10" ht="21.75" customHeight="1" x14ac:dyDescent="0.25">
      <c r="A1104" s="2">
        <v>2023</v>
      </c>
      <c r="B1104" s="2">
        <v>10</v>
      </c>
      <c r="C1104" s="2" t="s">
        <v>159</v>
      </c>
      <c r="D1104" s="3">
        <v>45213</v>
      </c>
      <c r="E1104" s="7">
        <v>567</v>
      </c>
      <c r="F1104" s="2" t="s">
        <v>14</v>
      </c>
      <c r="G1104" s="1">
        <v>63</v>
      </c>
      <c r="H1104" s="6">
        <v>504</v>
      </c>
      <c r="I1104" s="1">
        <v>19</v>
      </c>
      <c r="J1104" s="116" t="str">
        <f t="shared" si="17"/>
        <v>주말</v>
      </c>
    </row>
    <row r="1105" spans="1:10" ht="21.75" customHeight="1" x14ac:dyDescent="0.25">
      <c r="A1105" s="2">
        <v>2023</v>
      </c>
      <c r="B1105" s="2">
        <v>10</v>
      </c>
      <c r="C1105" s="2" t="s">
        <v>160</v>
      </c>
      <c r="D1105" s="3">
        <v>45214</v>
      </c>
      <c r="E1105" s="7">
        <v>341</v>
      </c>
      <c r="F1105" s="2" t="s">
        <v>14</v>
      </c>
      <c r="G1105" s="1">
        <v>38</v>
      </c>
      <c r="H1105" s="6">
        <v>303</v>
      </c>
      <c r="I1105" s="1">
        <v>20</v>
      </c>
      <c r="J1105" s="116" t="str">
        <f t="shared" si="17"/>
        <v>주말</v>
      </c>
    </row>
    <row r="1106" spans="1:10" ht="21.75" customHeight="1" x14ac:dyDescent="0.25">
      <c r="A1106" s="2">
        <v>2023</v>
      </c>
      <c r="B1106" s="2">
        <v>10</v>
      </c>
      <c r="C1106" s="2" t="s">
        <v>161</v>
      </c>
      <c r="D1106" s="3">
        <v>45215</v>
      </c>
      <c r="E1106" s="7">
        <v>0</v>
      </c>
      <c r="F1106" s="2" t="s">
        <v>14</v>
      </c>
      <c r="G1106" s="1">
        <v>0</v>
      </c>
      <c r="H1106" s="6">
        <v>0</v>
      </c>
      <c r="I1106" s="1">
        <v>21</v>
      </c>
      <c r="J1106" s="116" t="str">
        <f t="shared" si="17"/>
        <v>평일</v>
      </c>
    </row>
    <row r="1107" spans="1:10" ht="21.75" customHeight="1" x14ac:dyDescent="0.25">
      <c r="A1107" s="2">
        <v>2023</v>
      </c>
      <c r="B1107" s="2">
        <v>10</v>
      </c>
      <c r="C1107" s="2" t="s">
        <v>162</v>
      </c>
      <c r="D1107" s="3">
        <v>45216</v>
      </c>
      <c r="E1107" s="7">
        <v>114</v>
      </c>
      <c r="F1107" s="2" t="s">
        <v>14</v>
      </c>
      <c r="G1107" s="1">
        <v>13</v>
      </c>
      <c r="H1107" s="6">
        <v>101</v>
      </c>
      <c r="I1107" s="1">
        <v>22</v>
      </c>
      <c r="J1107" s="116" t="str">
        <f t="shared" si="17"/>
        <v>평일</v>
      </c>
    </row>
    <row r="1108" spans="1:10" ht="21.75" customHeight="1" x14ac:dyDescent="0.25">
      <c r="A1108" s="2">
        <v>2023</v>
      </c>
      <c r="B1108" s="2">
        <v>10</v>
      </c>
      <c r="C1108" s="2" t="s">
        <v>163</v>
      </c>
      <c r="D1108" s="3">
        <v>45217</v>
      </c>
      <c r="E1108" s="7">
        <v>129</v>
      </c>
      <c r="F1108" s="2" t="s">
        <v>14</v>
      </c>
      <c r="G1108" s="1">
        <v>8</v>
      </c>
      <c r="H1108" s="6">
        <v>121</v>
      </c>
      <c r="I1108" s="1">
        <v>23</v>
      </c>
      <c r="J1108" s="116" t="str">
        <f t="shared" si="17"/>
        <v>평일</v>
      </c>
    </row>
    <row r="1109" spans="1:10" ht="21.75" customHeight="1" x14ac:dyDescent="0.25">
      <c r="A1109" s="2">
        <v>2023</v>
      </c>
      <c r="B1109" s="2">
        <v>10</v>
      </c>
      <c r="C1109" s="2" t="s">
        <v>157</v>
      </c>
      <c r="D1109" s="3">
        <v>45218</v>
      </c>
      <c r="E1109" s="7">
        <v>159</v>
      </c>
      <c r="F1109" s="2" t="s">
        <v>14</v>
      </c>
      <c r="G1109" s="1">
        <v>46</v>
      </c>
      <c r="H1109" s="6">
        <v>113</v>
      </c>
      <c r="I1109" s="1">
        <v>24</v>
      </c>
      <c r="J1109" s="116" t="str">
        <f t="shared" si="17"/>
        <v>평일</v>
      </c>
    </row>
    <row r="1110" spans="1:10" ht="21.75" customHeight="1" x14ac:dyDescent="0.25">
      <c r="A1110" s="2">
        <v>2023</v>
      </c>
      <c r="B1110" s="2">
        <v>10</v>
      </c>
      <c r="C1110" s="2" t="s">
        <v>158</v>
      </c>
      <c r="D1110" s="3">
        <v>45219</v>
      </c>
      <c r="E1110" s="7">
        <v>203</v>
      </c>
      <c r="F1110" s="2" t="s">
        <v>14</v>
      </c>
      <c r="G1110" s="1">
        <v>17</v>
      </c>
      <c r="H1110" s="6">
        <v>186</v>
      </c>
      <c r="I1110" s="1">
        <v>25</v>
      </c>
      <c r="J1110" s="116" t="str">
        <f t="shared" si="17"/>
        <v>평일</v>
      </c>
    </row>
    <row r="1111" spans="1:10" ht="21.75" customHeight="1" x14ac:dyDescent="0.25">
      <c r="A1111" s="2">
        <v>2023</v>
      </c>
      <c r="B1111" s="2">
        <v>10</v>
      </c>
      <c r="C1111" s="2" t="s">
        <v>159</v>
      </c>
      <c r="D1111" s="3">
        <v>45220</v>
      </c>
      <c r="E1111" s="7">
        <v>525</v>
      </c>
      <c r="F1111" s="2" t="s">
        <v>14</v>
      </c>
      <c r="G1111" s="1">
        <v>61</v>
      </c>
      <c r="H1111" s="6">
        <v>464</v>
      </c>
      <c r="I1111" s="1">
        <v>26</v>
      </c>
      <c r="J1111" s="116" t="str">
        <f t="shared" si="17"/>
        <v>주말</v>
      </c>
    </row>
    <row r="1112" spans="1:10" ht="21.75" customHeight="1" x14ac:dyDescent="0.25">
      <c r="A1112" s="2">
        <v>2023</v>
      </c>
      <c r="B1112" s="2">
        <v>10</v>
      </c>
      <c r="C1112" s="2" t="s">
        <v>160</v>
      </c>
      <c r="D1112" s="3">
        <v>45221</v>
      </c>
      <c r="E1112" s="7">
        <v>353</v>
      </c>
      <c r="F1112" s="2" t="s">
        <v>14</v>
      </c>
      <c r="G1112" s="1">
        <v>49</v>
      </c>
      <c r="H1112" s="6">
        <v>304</v>
      </c>
      <c r="I1112" s="1">
        <v>27</v>
      </c>
      <c r="J1112" s="116" t="str">
        <f t="shared" si="17"/>
        <v>주말</v>
      </c>
    </row>
    <row r="1113" spans="1:10" ht="21.75" customHeight="1" x14ac:dyDescent="0.25">
      <c r="A1113" s="2">
        <v>2023</v>
      </c>
      <c r="B1113" s="2">
        <v>10</v>
      </c>
      <c r="C1113" s="2" t="s">
        <v>161</v>
      </c>
      <c r="D1113" s="3">
        <v>45222</v>
      </c>
      <c r="E1113" s="7">
        <v>163</v>
      </c>
      <c r="F1113" s="2" t="s">
        <v>14</v>
      </c>
      <c r="G1113" s="1">
        <v>14</v>
      </c>
      <c r="H1113" s="6">
        <v>149</v>
      </c>
      <c r="I1113" s="1">
        <v>28</v>
      </c>
      <c r="J1113" s="116" t="str">
        <f t="shared" si="17"/>
        <v>평일</v>
      </c>
    </row>
    <row r="1114" spans="1:10" ht="21.75" customHeight="1" x14ac:dyDescent="0.25">
      <c r="A1114" s="2">
        <v>2023</v>
      </c>
      <c r="B1114" s="2">
        <v>10</v>
      </c>
      <c r="C1114" s="2" t="s">
        <v>162</v>
      </c>
      <c r="D1114" s="3">
        <v>45223</v>
      </c>
      <c r="E1114" s="7">
        <v>105</v>
      </c>
      <c r="F1114" s="2" t="s">
        <v>14</v>
      </c>
      <c r="G1114" s="1">
        <v>23</v>
      </c>
      <c r="H1114" s="6">
        <v>82</v>
      </c>
      <c r="I1114" s="1">
        <v>29</v>
      </c>
      <c r="J1114" s="116" t="str">
        <f t="shared" si="17"/>
        <v>평일</v>
      </c>
    </row>
    <row r="1115" spans="1:10" ht="21.75" customHeight="1" x14ac:dyDescent="0.25">
      <c r="A1115" s="2">
        <v>2023</v>
      </c>
      <c r="B1115" s="2">
        <v>10</v>
      </c>
      <c r="C1115" s="2" t="s">
        <v>163</v>
      </c>
      <c r="D1115" s="3">
        <v>45224</v>
      </c>
      <c r="E1115" s="7">
        <v>130</v>
      </c>
      <c r="F1115" s="2" t="s">
        <v>14</v>
      </c>
      <c r="G1115" s="1">
        <v>19</v>
      </c>
      <c r="H1115" s="6">
        <v>111</v>
      </c>
      <c r="I1115" s="1">
        <v>30</v>
      </c>
      <c r="J1115" s="116" t="str">
        <f t="shared" si="17"/>
        <v>평일</v>
      </c>
    </row>
    <row r="1116" spans="1:10" ht="21.75" customHeight="1" x14ac:dyDescent="0.25">
      <c r="A1116" s="2">
        <v>2023</v>
      </c>
      <c r="B1116" s="2">
        <v>10</v>
      </c>
      <c r="C1116" s="2" t="s">
        <v>157</v>
      </c>
      <c r="D1116" s="3">
        <v>45225</v>
      </c>
      <c r="E1116" s="7">
        <v>120</v>
      </c>
      <c r="F1116" s="2" t="s">
        <v>14</v>
      </c>
      <c r="G1116" s="1">
        <v>13</v>
      </c>
      <c r="H1116" s="6">
        <v>107</v>
      </c>
      <c r="I1116" s="1">
        <v>31</v>
      </c>
      <c r="J1116" s="116" t="str">
        <f t="shared" si="17"/>
        <v>평일</v>
      </c>
    </row>
    <row r="1117" spans="1:10" ht="21.75" customHeight="1" x14ac:dyDescent="0.25">
      <c r="A1117" s="2">
        <v>2023</v>
      </c>
      <c r="B1117" s="2">
        <v>10</v>
      </c>
      <c r="C1117" s="2" t="s">
        <v>158</v>
      </c>
      <c r="D1117" s="3">
        <v>45226</v>
      </c>
      <c r="E1117" s="7">
        <v>177</v>
      </c>
      <c r="F1117" s="2" t="s">
        <v>14</v>
      </c>
      <c r="G1117" s="1">
        <v>28</v>
      </c>
      <c r="H1117" s="6">
        <v>149</v>
      </c>
      <c r="I1117" s="1">
        <v>32</v>
      </c>
      <c r="J1117" s="116" t="str">
        <f t="shared" si="17"/>
        <v>평일</v>
      </c>
    </row>
    <row r="1118" spans="1:10" ht="21.75" customHeight="1" x14ac:dyDescent="0.25">
      <c r="A1118" s="2">
        <v>2023</v>
      </c>
      <c r="B1118" s="2">
        <v>10</v>
      </c>
      <c r="C1118" s="2" t="s">
        <v>159</v>
      </c>
      <c r="D1118" s="3">
        <v>45227</v>
      </c>
      <c r="E1118" s="7">
        <v>326</v>
      </c>
      <c r="F1118" s="2" t="s">
        <v>14</v>
      </c>
      <c r="G1118" s="1">
        <v>61</v>
      </c>
      <c r="H1118" s="6">
        <v>265</v>
      </c>
      <c r="I1118" s="1">
        <v>33</v>
      </c>
      <c r="J1118" s="116" t="str">
        <f t="shared" si="17"/>
        <v>주말</v>
      </c>
    </row>
    <row r="1119" spans="1:10" ht="21.75" customHeight="1" x14ac:dyDescent="0.25">
      <c r="A1119" s="2">
        <v>2023</v>
      </c>
      <c r="B1119" s="2">
        <v>10</v>
      </c>
      <c r="C1119" s="2" t="s">
        <v>160</v>
      </c>
      <c r="D1119" s="3">
        <v>45228</v>
      </c>
      <c r="E1119" s="7">
        <v>320</v>
      </c>
      <c r="F1119" s="2" t="s">
        <v>14</v>
      </c>
      <c r="G1119" s="1">
        <v>53</v>
      </c>
      <c r="H1119" s="6">
        <v>267</v>
      </c>
      <c r="I1119" s="1">
        <v>34</v>
      </c>
      <c r="J1119" s="116" t="str">
        <f t="shared" si="17"/>
        <v>주말</v>
      </c>
    </row>
    <row r="1120" spans="1:10" ht="21.75" customHeight="1" x14ac:dyDescent="0.25">
      <c r="A1120" s="2">
        <v>2023</v>
      </c>
      <c r="B1120" s="2">
        <v>10</v>
      </c>
      <c r="C1120" s="2" t="s">
        <v>161</v>
      </c>
      <c r="D1120" s="3">
        <v>45229</v>
      </c>
      <c r="E1120" s="7">
        <v>94</v>
      </c>
      <c r="F1120" s="2" t="s">
        <v>14</v>
      </c>
      <c r="G1120" s="1">
        <v>13</v>
      </c>
      <c r="H1120" s="6">
        <v>81</v>
      </c>
      <c r="I1120" s="1">
        <v>35</v>
      </c>
      <c r="J1120" s="116" t="str">
        <f t="shared" si="17"/>
        <v>평일</v>
      </c>
    </row>
    <row r="1121" spans="1:10" ht="21.75" customHeight="1" x14ac:dyDescent="0.25">
      <c r="A1121" s="2">
        <v>2023</v>
      </c>
      <c r="B1121" s="2">
        <v>10</v>
      </c>
      <c r="C1121" s="2" t="s">
        <v>162</v>
      </c>
      <c r="D1121" s="3">
        <v>45230</v>
      </c>
      <c r="E1121" s="7">
        <v>122</v>
      </c>
      <c r="F1121" s="2" t="s">
        <v>14</v>
      </c>
      <c r="G1121" s="1">
        <v>33</v>
      </c>
      <c r="H1121" s="6">
        <v>89</v>
      </c>
      <c r="I1121" s="1">
        <v>36</v>
      </c>
      <c r="J1121" s="116" t="str">
        <f t="shared" si="17"/>
        <v>평일</v>
      </c>
    </row>
    <row r="1122" spans="1:10" ht="21.75" customHeight="1" x14ac:dyDescent="0.25">
      <c r="A1122" s="2">
        <v>2023</v>
      </c>
      <c r="B1122" s="2">
        <v>11</v>
      </c>
      <c r="C1122" s="2" t="s">
        <v>163</v>
      </c>
      <c r="D1122" s="3">
        <v>45231</v>
      </c>
      <c r="E1122" s="7">
        <v>127</v>
      </c>
      <c r="F1122" s="2" t="s">
        <v>14</v>
      </c>
      <c r="G1122" s="1">
        <v>25</v>
      </c>
      <c r="H1122" s="6">
        <v>102</v>
      </c>
      <c r="I1122" s="1">
        <v>37</v>
      </c>
      <c r="J1122" s="116" t="str">
        <f t="shared" si="17"/>
        <v>평일</v>
      </c>
    </row>
    <row r="1123" spans="1:10" ht="21.75" customHeight="1" x14ac:dyDescent="0.25">
      <c r="A1123" s="2">
        <v>2023</v>
      </c>
      <c r="B1123" s="2">
        <v>11</v>
      </c>
      <c r="C1123" s="2" t="s">
        <v>157</v>
      </c>
      <c r="D1123" s="3">
        <v>45232</v>
      </c>
      <c r="E1123" s="7">
        <v>95</v>
      </c>
      <c r="F1123" s="2" t="s">
        <v>14</v>
      </c>
      <c r="G1123" s="1">
        <v>16</v>
      </c>
      <c r="H1123" s="6">
        <v>79</v>
      </c>
      <c r="I1123" s="1">
        <v>38</v>
      </c>
      <c r="J1123" s="116" t="str">
        <f t="shared" si="17"/>
        <v>평일</v>
      </c>
    </row>
    <row r="1124" spans="1:10" ht="21.75" customHeight="1" x14ac:dyDescent="0.25">
      <c r="A1124" s="2">
        <v>2023</v>
      </c>
      <c r="B1124" s="2">
        <v>11</v>
      </c>
      <c r="C1124" s="2" t="s">
        <v>158</v>
      </c>
      <c r="D1124" s="3">
        <v>45233</v>
      </c>
      <c r="E1124" s="7">
        <v>151</v>
      </c>
      <c r="F1124" s="2" t="s">
        <v>14</v>
      </c>
      <c r="G1124" s="1">
        <v>15</v>
      </c>
      <c r="H1124" s="6">
        <v>136</v>
      </c>
      <c r="I1124" s="1">
        <v>39</v>
      </c>
      <c r="J1124" s="116" t="str">
        <f t="shared" si="17"/>
        <v>평일</v>
      </c>
    </row>
    <row r="1125" spans="1:10" ht="21.75" customHeight="1" x14ac:dyDescent="0.25">
      <c r="A1125" s="2">
        <v>2023</v>
      </c>
      <c r="B1125" s="2">
        <v>11</v>
      </c>
      <c r="C1125" s="2" t="s">
        <v>159</v>
      </c>
      <c r="D1125" s="3">
        <v>45234</v>
      </c>
      <c r="E1125" s="7">
        <v>487</v>
      </c>
      <c r="F1125" s="2" t="s">
        <v>14</v>
      </c>
      <c r="G1125" s="1">
        <v>66</v>
      </c>
      <c r="H1125" s="6">
        <v>421</v>
      </c>
      <c r="I1125" s="1">
        <v>40</v>
      </c>
      <c r="J1125" s="116" t="str">
        <f t="shared" si="17"/>
        <v>주말</v>
      </c>
    </row>
    <row r="1126" spans="1:10" ht="21.75" customHeight="1" x14ac:dyDescent="0.25">
      <c r="A1126" s="2">
        <v>2023</v>
      </c>
      <c r="B1126" s="2">
        <v>11</v>
      </c>
      <c r="C1126" s="2" t="s">
        <v>160</v>
      </c>
      <c r="D1126" s="3">
        <v>45235</v>
      </c>
      <c r="E1126" s="7">
        <v>427</v>
      </c>
      <c r="F1126" s="2" t="s">
        <v>14</v>
      </c>
      <c r="G1126" s="1">
        <v>61</v>
      </c>
      <c r="H1126" s="6">
        <v>366</v>
      </c>
      <c r="I1126" s="1">
        <v>41</v>
      </c>
      <c r="J1126" s="116" t="str">
        <f t="shared" si="17"/>
        <v>주말</v>
      </c>
    </row>
    <row r="1127" spans="1:10" ht="21.75" customHeight="1" x14ac:dyDescent="0.25">
      <c r="A1127" s="2">
        <v>2023</v>
      </c>
      <c r="B1127" s="2">
        <v>11</v>
      </c>
      <c r="C1127" s="2" t="s">
        <v>161</v>
      </c>
      <c r="D1127" s="3">
        <v>45236</v>
      </c>
      <c r="E1127" s="7">
        <v>0</v>
      </c>
      <c r="F1127" s="2" t="s">
        <v>14</v>
      </c>
      <c r="G1127" s="1">
        <v>0</v>
      </c>
      <c r="H1127" s="6">
        <v>0</v>
      </c>
      <c r="I1127" s="1">
        <v>42</v>
      </c>
      <c r="J1127" s="116" t="str">
        <f t="shared" si="17"/>
        <v>평일</v>
      </c>
    </row>
    <row r="1128" spans="1:10" ht="21.75" customHeight="1" x14ac:dyDescent="0.25">
      <c r="A1128" s="2">
        <v>2023</v>
      </c>
      <c r="B1128" s="2">
        <v>11</v>
      </c>
      <c r="C1128" s="2" t="s">
        <v>162</v>
      </c>
      <c r="D1128" s="3">
        <v>45237</v>
      </c>
      <c r="E1128" s="7">
        <v>135</v>
      </c>
      <c r="F1128" s="2" t="s">
        <v>14</v>
      </c>
      <c r="G1128" s="1">
        <v>14</v>
      </c>
      <c r="H1128" s="6">
        <v>121</v>
      </c>
      <c r="I1128" s="1">
        <v>43</v>
      </c>
      <c r="J1128" s="116" t="str">
        <f t="shared" si="17"/>
        <v>평일</v>
      </c>
    </row>
    <row r="1129" spans="1:10" ht="21.75" customHeight="1" x14ac:dyDescent="0.25">
      <c r="A1129" s="2">
        <v>2023</v>
      </c>
      <c r="B1129" s="2">
        <v>11</v>
      </c>
      <c r="C1129" s="2" t="s">
        <v>163</v>
      </c>
      <c r="D1129" s="3">
        <v>45238</v>
      </c>
      <c r="E1129" s="7">
        <v>161</v>
      </c>
      <c r="F1129" s="2" t="s">
        <v>14</v>
      </c>
      <c r="G1129" s="1">
        <v>19</v>
      </c>
      <c r="H1129" s="6">
        <v>142</v>
      </c>
      <c r="I1129" s="1">
        <v>44</v>
      </c>
      <c r="J1129" s="116" t="str">
        <f t="shared" si="17"/>
        <v>평일</v>
      </c>
    </row>
    <row r="1130" spans="1:10" ht="21.75" customHeight="1" x14ac:dyDescent="0.25">
      <c r="A1130" s="2">
        <v>2023</v>
      </c>
      <c r="B1130" s="2">
        <v>11</v>
      </c>
      <c r="C1130" s="2" t="s">
        <v>157</v>
      </c>
      <c r="D1130" s="3">
        <v>45239</v>
      </c>
      <c r="E1130" s="7">
        <v>126</v>
      </c>
      <c r="F1130" s="2" t="s">
        <v>14</v>
      </c>
      <c r="G1130" s="1">
        <v>10</v>
      </c>
      <c r="H1130" s="6">
        <v>116</v>
      </c>
      <c r="I1130" s="1">
        <v>45</v>
      </c>
      <c r="J1130" s="116" t="str">
        <f t="shared" si="17"/>
        <v>평일</v>
      </c>
    </row>
    <row r="1131" spans="1:10" ht="21.75" customHeight="1" x14ac:dyDescent="0.25">
      <c r="A1131" s="2">
        <v>2023</v>
      </c>
      <c r="B1131" s="2">
        <v>11</v>
      </c>
      <c r="C1131" s="2" t="s">
        <v>158</v>
      </c>
      <c r="D1131" s="3">
        <v>45240</v>
      </c>
      <c r="E1131" s="7">
        <v>153</v>
      </c>
      <c r="F1131" s="2" t="s">
        <v>14</v>
      </c>
      <c r="G1131" s="1">
        <v>24</v>
      </c>
      <c r="H1131" s="6">
        <v>129</v>
      </c>
      <c r="I1131" s="1">
        <v>46</v>
      </c>
      <c r="J1131" s="116" t="str">
        <f t="shared" si="17"/>
        <v>평일</v>
      </c>
    </row>
    <row r="1132" spans="1:10" ht="21.75" customHeight="1" x14ac:dyDescent="0.25">
      <c r="A1132" s="2">
        <v>2023</v>
      </c>
      <c r="B1132" s="2">
        <v>11</v>
      </c>
      <c r="C1132" s="2" t="s">
        <v>159</v>
      </c>
      <c r="D1132" s="3">
        <v>45241</v>
      </c>
      <c r="E1132" s="7">
        <v>521</v>
      </c>
      <c r="F1132" s="2" t="s">
        <v>14</v>
      </c>
      <c r="G1132" s="1">
        <v>88</v>
      </c>
      <c r="H1132" s="6">
        <v>433</v>
      </c>
      <c r="I1132" s="1">
        <v>47</v>
      </c>
      <c r="J1132" s="116" t="str">
        <f t="shared" si="17"/>
        <v>주말</v>
      </c>
    </row>
    <row r="1133" spans="1:10" ht="21.75" customHeight="1" x14ac:dyDescent="0.25">
      <c r="A1133" s="2">
        <v>2023</v>
      </c>
      <c r="B1133" s="2">
        <v>11</v>
      </c>
      <c r="C1133" s="2" t="s">
        <v>160</v>
      </c>
      <c r="D1133" s="3">
        <v>45242</v>
      </c>
      <c r="E1133" s="7">
        <v>523</v>
      </c>
      <c r="F1133" s="2" t="s">
        <v>14</v>
      </c>
      <c r="G1133" s="1">
        <v>89</v>
      </c>
      <c r="H1133" s="6">
        <v>434</v>
      </c>
      <c r="I1133" s="1">
        <v>48</v>
      </c>
      <c r="J1133" s="116" t="str">
        <f t="shared" si="17"/>
        <v>주말</v>
      </c>
    </row>
    <row r="1134" spans="1:10" ht="21.75" customHeight="1" x14ac:dyDescent="0.25">
      <c r="A1134" s="2">
        <v>2023</v>
      </c>
      <c r="B1134" s="2">
        <v>11</v>
      </c>
      <c r="C1134" s="2" t="s">
        <v>161</v>
      </c>
      <c r="D1134" s="3">
        <v>45243</v>
      </c>
      <c r="E1134" s="7">
        <v>157</v>
      </c>
      <c r="F1134" s="2" t="s">
        <v>14</v>
      </c>
      <c r="G1134" s="1">
        <v>19</v>
      </c>
      <c r="H1134" s="6">
        <v>138</v>
      </c>
      <c r="I1134" s="1">
        <v>49</v>
      </c>
      <c r="J1134" s="116" t="str">
        <f t="shared" si="17"/>
        <v>평일</v>
      </c>
    </row>
    <row r="1135" spans="1:10" ht="21.75" customHeight="1" x14ac:dyDescent="0.25">
      <c r="A1135" s="2">
        <v>2023</v>
      </c>
      <c r="B1135" s="2">
        <v>11</v>
      </c>
      <c r="C1135" s="2" t="s">
        <v>162</v>
      </c>
      <c r="D1135" s="3">
        <v>45244</v>
      </c>
      <c r="E1135" s="7">
        <v>102</v>
      </c>
      <c r="F1135" s="2" t="s">
        <v>14</v>
      </c>
      <c r="G1135" s="1">
        <v>11</v>
      </c>
      <c r="H1135" s="6">
        <v>91</v>
      </c>
      <c r="I1135" s="1">
        <v>50</v>
      </c>
      <c r="J1135" s="116" t="str">
        <f t="shared" si="17"/>
        <v>평일</v>
      </c>
    </row>
    <row r="1136" spans="1:10" ht="21.75" customHeight="1" x14ac:dyDescent="0.25">
      <c r="A1136" s="2">
        <v>2023</v>
      </c>
      <c r="B1136" s="2">
        <v>11</v>
      </c>
      <c r="C1136" s="2" t="s">
        <v>163</v>
      </c>
      <c r="D1136" s="3">
        <v>45245</v>
      </c>
      <c r="E1136" s="7">
        <v>143</v>
      </c>
      <c r="F1136" s="2" t="s">
        <v>14</v>
      </c>
      <c r="G1136" s="1">
        <v>8</v>
      </c>
      <c r="H1136" s="6">
        <v>135</v>
      </c>
      <c r="I1136" s="1">
        <v>51</v>
      </c>
      <c r="J1136" s="116" t="str">
        <f t="shared" si="17"/>
        <v>평일</v>
      </c>
    </row>
    <row r="1137" spans="1:10" ht="21.75" customHeight="1" x14ac:dyDescent="0.25">
      <c r="A1137" s="2">
        <v>2023</v>
      </c>
      <c r="B1137" s="2">
        <v>11</v>
      </c>
      <c r="C1137" s="2" t="s">
        <v>157</v>
      </c>
      <c r="D1137" s="3">
        <v>45246</v>
      </c>
      <c r="E1137" s="7">
        <v>125</v>
      </c>
      <c r="F1137" s="2" t="s">
        <v>14</v>
      </c>
      <c r="G1137" s="1">
        <v>21</v>
      </c>
      <c r="H1137" s="6">
        <v>104</v>
      </c>
      <c r="I1137" s="1">
        <v>52</v>
      </c>
      <c r="J1137" s="116" t="str">
        <f t="shared" si="17"/>
        <v>평일</v>
      </c>
    </row>
    <row r="1138" spans="1:10" ht="21.75" customHeight="1" x14ac:dyDescent="0.25">
      <c r="A1138" s="2">
        <v>2023</v>
      </c>
      <c r="B1138" s="2">
        <v>11</v>
      </c>
      <c r="C1138" s="2" t="s">
        <v>158</v>
      </c>
      <c r="D1138" s="3">
        <v>45247</v>
      </c>
      <c r="E1138" s="7">
        <v>269</v>
      </c>
      <c r="F1138" s="2" t="s">
        <v>14</v>
      </c>
      <c r="G1138" s="1">
        <v>113</v>
      </c>
      <c r="H1138" s="6">
        <v>156</v>
      </c>
      <c r="I1138" s="1">
        <v>53</v>
      </c>
      <c r="J1138" s="116" t="str">
        <f t="shared" si="17"/>
        <v>평일</v>
      </c>
    </row>
    <row r="1139" spans="1:10" ht="21.75" customHeight="1" x14ac:dyDescent="0.25">
      <c r="A1139" s="2">
        <v>2023</v>
      </c>
      <c r="B1139" s="2">
        <v>11</v>
      </c>
      <c r="C1139" s="2" t="s">
        <v>159</v>
      </c>
      <c r="D1139" s="3">
        <v>45248</v>
      </c>
      <c r="E1139" s="7">
        <v>502</v>
      </c>
      <c r="F1139" s="2" t="s">
        <v>14</v>
      </c>
      <c r="G1139" s="1">
        <v>90</v>
      </c>
      <c r="H1139" s="6">
        <v>412</v>
      </c>
      <c r="I1139" s="1">
        <v>54</v>
      </c>
      <c r="J1139" s="116" t="str">
        <f t="shared" si="17"/>
        <v>주말</v>
      </c>
    </row>
    <row r="1140" spans="1:10" ht="21.75" customHeight="1" x14ac:dyDescent="0.25">
      <c r="A1140" s="2">
        <v>2023</v>
      </c>
      <c r="B1140" s="2">
        <v>11</v>
      </c>
      <c r="C1140" s="2" t="s">
        <v>160</v>
      </c>
      <c r="D1140" s="3">
        <v>45249</v>
      </c>
      <c r="E1140" s="7">
        <v>564</v>
      </c>
      <c r="F1140" s="2" t="s">
        <v>14</v>
      </c>
      <c r="G1140" s="1">
        <v>114</v>
      </c>
      <c r="H1140" s="6">
        <v>450</v>
      </c>
      <c r="I1140" s="1">
        <v>55</v>
      </c>
      <c r="J1140" s="116" t="str">
        <f t="shared" si="17"/>
        <v>주말</v>
      </c>
    </row>
    <row r="1141" spans="1:10" ht="21.75" customHeight="1" x14ac:dyDescent="0.25">
      <c r="A1141" s="2">
        <v>2023</v>
      </c>
      <c r="B1141" s="2">
        <v>11</v>
      </c>
      <c r="C1141" s="2" t="s">
        <v>161</v>
      </c>
      <c r="D1141" s="3">
        <v>45250</v>
      </c>
      <c r="E1141" s="7">
        <v>135</v>
      </c>
      <c r="F1141" s="2" t="s">
        <v>14</v>
      </c>
      <c r="G1141" s="1">
        <v>27</v>
      </c>
      <c r="H1141" s="6">
        <v>108</v>
      </c>
      <c r="I1141" s="1">
        <v>56</v>
      </c>
      <c r="J1141" s="116" t="str">
        <f t="shared" si="17"/>
        <v>평일</v>
      </c>
    </row>
    <row r="1142" spans="1:10" ht="21.75" customHeight="1" x14ac:dyDescent="0.25">
      <c r="A1142" s="2">
        <v>2023</v>
      </c>
      <c r="B1142" s="2">
        <v>11</v>
      </c>
      <c r="C1142" s="2" t="s">
        <v>162</v>
      </c>
      <c r="D1142" s="3">
        <v>45251</v>
      </c>
      <c r="E1142" s="7">
        <v>117</v>
      </c>
      <c r="F1142" s="2" t="s">
        <v>14</v>
      </c>
      <c r="G1142" s="1">
        <v>36</v>
      </c>
      <c r="H1142" s="6">
        <v>81</v>
      </c>
      <c r="I1142" s="1">
        <v>57</v>
      </c>
      <c r="J1142" s="116" t="str">
        <f t="shared" si="17"/>
        <v>평일</v>
      </c>
    </row>
    <row r="1143" spans="1:10" ht="21.75" customHeight="1" x14ac:dyDescent="0.25">
      <c r="A1143" s="2">
        <v>2023</v>
      </c>
      <c r="B1143" s="2">
        <v>11</v>
      </c>
      <c r="C1143" s="2" t="s">
        <v>163</v>
      </c>
      <c r="D1143" s="3">
        <v>45252</v>
      </c>
      <c r="E1143" s="7">
        <v>157</v>
      </c>
      <c r="F1143" s="2" t="s">
        <v>14</v>
      </c>
      <c r="G1143" s="1">
        <v>35</v>
      </c>
      <c r="H1143" s="6">
        <v>122</v>
      </c>
      <c r="I1143" s="1">
        <v>58</v>
      </c>
      <c r="J1143" s="116" t="str">
        <f t="shared" si="17"/>
        <v>평일</v>
      </c>
    </row>
    <row r="1144" spans="1:10" ht="21.75" customHeight="1" x14ac:dyDescent="0.25">
      <c r="A1144" s="2">
        <v>2023</v>
      </c>
      <c r="B1144" s="2">
        <v>11</v>
      </c>
      <c r="C1144" s="2" t="s">
        <v>157</v>
      </c>
      <c r="D1144" s="3">
        <v>45253</v>
      </c>
      <c r="E1144" s="7">
        <v>169</v>
      </c>
      <c r="F1144" s="2" t="s">
        <v>14</v>
      </c>
      <c r="G1144" s="1">
        <v>66</v>
      </c>
      <c r="H1144" s="6">
        <v>103</v>
      </c>
      <c r="I1144" s="1">
        <v>59</v>
      </c>
      <c r="J1144" s="116" t="str">
        <f t="shared" si="17"/>
        <v>평일</v>
      </c>
    </row>
    <row r="1145" spans="1:10" ht="21.75" customHeight="1" x14ac:dyDescent="0.25">
      <c r="A1145" s="2">
        <v>2023</v>
      </c>
      <c r="B1145" s="2">
        <v>11</v>
      </c>
      <c r="C1145" s="2" t="s">
        <v>158</v>
      </c>
      <c r="D1145" s="3">
        <v>45254</v>
      </c>
      <c r="E1145" s="7">
        <v>263</v>
      </c>
      <c r="F1145" s="2" t="s">
        <v>14</v>
      </c>
      <c r="G1145" s="1">
        <v>53</v>
      </c>
      <c r="H1145" s="6">
        <v>210</v>
      </c>
      <c r="I1145" s="1">
        <v>60</v>
      </c>
      <c r="J1145" s="116" t="str">
        <f t="shared" si="17"/>
        <v>평일</v>
      </c>
    </row>
    <row r="1146" spans="1:10" ht="21.75" customHeight="1" x14ac:dyDescent="0.25">
      <c r="A1146" s="2">
        <v>2023</v>
      </c>
      <c r="B1146" s="2">
        <v>11</v>
      </c>
      <c r="C1146" s="2" t="s">
        <v>159</v>
      </c>
      <c r="D1146" s="3">
        <v>45255</v>
      </c>
      <c r="E1146" s="7">
        <v>544</v>
      </c>
      <c r="F1146" s="2" t="s">
        <v>14</v>
      </c>
      <c r="G1146" s="1">
        <v>137</v>
      </c>
      <c r="H1146" s="6">
        <v>407</v>
      </c>
      <c r="I1146" s="1">
        <v>61</v>
      </c>
      <c r="J1146" s="116" t="str">
        <f t="shared" si="17"/>
        <v>주말</v>
      </c>
    </row>
    <row r="1147" spans="1:10" ht="21.75" customHeight="1" x14ac:dyDescent="0.25">
      <c r="A1147" s="2">
        <v>2023</v>
      </c>
      <c r="B1147" s="2">
        <v>11</v>
      </c>
      <c r="C1147" s="2" t="s">
        <v>160</v>
      </c>
      <c r="D1147" s="3">
        <v>45256</v>
      </c>
      <c r="E1147" s="7">
        <v>532</v>
      </c>
      <c r="F1147" s="2" t="s">
        <v>14</v>
      </c>
      <c r="G1147" s="1">
        <v>122</v>
      </c>
      <c r="H1147" s="6">
        <v>410</v>
      </c>
      <c r="I1147" s="1">
        <v>62</v>
      </c>
      <c r="J1147" s="116" t="str">
        <f t="shared" si="17"/>
        <v>주말</v>
      </c>
    </row>
    <row r="1148" spans="1:10" ht="21.75" customHeight="1" x14ac:dyDescent="0.25">
      <c r="A1148" s="2">
        <v>2023</v>
      </c>
      <c r="B1148" s="2">
        <v>11</v>
      </c>
      <c r="C1148" s="2" t="s">
        <v>161</v>
      </c>
      <c r="D1148" s="3">
        <v>45257</v>
      </c>
      <c r="E1148" s="7">
        <v>136</v>
      </c>
      <c r="F1148" s="2" t="s">
        <v>14</v>
      </c>
      <c r="G1148" s="1">
        <v>43</v>
      </c>
      <c r="H1148" s="6">
        <v>93</v>
      </c>
      <c r="I1148" s="1">
        <v>63</v>
      </c>
      <c r="J1148" s="116" t="str">
        <f t="shared" si="17"/>
        <v>평일</v>
      </c>
    </row>
    <row r="1149" spans="1:10" ht="21.75" customHeight="1" x14ac:dyDescent="0.25">
      <c r="A1149" s="2">
        <v>2023</v>
      </c>
      <c r="B1149" s="2">
        <v>11</v>
      </c>
      <c r="C1149" s="2" t="s">
        <v>162</v>
      </c>
      <c r="D1149" s="3">
        <v>45258</v>
      </c>
      <c r="E1149" s="7">
        <v>138</v>
      </c>
      <c r="F1149" s="2" t="s">
        <v>14</v>
      </c>
      <c r="G1149" s="1">
        <v>34</v>
      </c>
      <c r="H1149" s="6">
        <v>104</v>
      </c>
      <c r="I1149" s="1">
        <v>64</v>
      </c>
      <c r="J1149" s="116" t="str">
        <f t="shared" si="17"/>
        <v>평일</v>
      </c>
    </row>
    <row r="1150" spans="1:10" ht="21.75" customHeight="1" x14ac:dyDescent="0.25">
      <c r="A1150" s="2">
        <v>2023</v>
      </c>
      <c r="B1150" s="2">
        <v>11</v>
      </c>
      <c r="C1150" s="2" t="s">
        <v>163</v>
      </c>
      <c r="D1150" s="3">
        <v>45259</v>
      </c>
      <c r="E1150" s="7">
        <v>146</v>
      </c>
      <c r="F1150" s="2" t="s">
        <v>14</v>
      </c>
      <c r="G1150" s="1">
        <v>24</v>
      </c>
      <c r="H1150" s="6">
        <v>122</v>
      </c>
      <c r="I1150" s="1">
        <v>65</v>
      </c>
      <c r="J1150" s="116" t="str">
        <f t="shared" si="17"/>
        <v>평일</v>
      </c>
    </row>
    <row r="1151" spans="1:10" ht="21.75" customHeight="1" x14ac:dyDescent="0.25">
      <c r="A1151" s="2">
        <v>2023</v>
      </c>
      <c r="B1151" s="2">
        <v>11</v>
      </c>
      <c r="C1151" s="2" t="s">
        <v>157</v>
      </c>
      <c r="D1151" s="3">
        <v>45260</v>
      </c>
      <c r="E1151" s="7">
        <v>118</v>
      </c>
      <c r="F1151" s="2" t="s">
        <v>14</v>
      </c>
      <c r="G1151" s="1">
        <v>33</v>
      </c>
      <c r="H1151" s="6">
        <v>85</v>
      </c>
      <c r="I1151" s="1">
        <v>66</v>
      </c>
      <c r="J1151" s="116" t="str">
        <f t="shared" si="17"/>
        <v>평일</v>
      </c>
    </row>
    <row r="1152" spans="1:10" ht="21.75" customHeight="1" x14ac:dyDescent="0.25">
      <c r="A1152" s="2">
        <v>2023</v>
      </c>
      <c r="B1152" s="2">
        <v>12</v>
      </c>
      <c r="C1152" s="2" t="s">
        <v>158</v>
      </c>
      <c r="D1152" s="3">
        <v>45261</v>
      </c>
      <c r="E1152" s="7">
        <v>159</v>
      </c>
      <c r="F1152" s="2" t="s">
        <v>14</v>
      </c>
      <c r="G1152" s="1">
        <v>39</v>
      </c>
      <c r="H1152" s="6">
        <v>120</v>
      </c>
      <c r="I1152" s="1">
        <v>67</v>
      </c>
      <c r="J1152" s="116" t="str">
        <f t="shared" si="17"/>
        <v>평일</v>
      </c>
    </row>
    <row r="1153" spans="1:10" ht="21.75" customHeight="1" x14ac:dyDescent="0.25">
      <c r="A1153" s="2">
        <v>2023</v>
      </c>
      <c r="B1153" s="2">
        <v>12</v>
      </c>
      <c r="C1153" s="2" t="s">
        <v>159</v>
      </c>
      <c r="D1153" s="3">
        <v>45262</v>
      </c>
      <c r="E1153" s="7">
        <v>502</v>
      </c>
      <c r="F1153" s="2" t="s">
        <v>14</v>
      </c>
      <c r="G1153" s="1">
        <v>118</v>
      </c>
      <c r="H1153" s="6">
        <v>384</v>
      </c>
      <c r="I1153" s="1">
        <v>68</v>
      </c>
      <c r="J1153" s="116" t="str">
        <f t="shared" si="17"/>
        <v>주말</v>
      </c>
    </row>
    <row r="1154" spans="1:10" ht="21.75" customHeight="1" x14ac:dyDescent="0.25">
      <c r="A1154" s="2">
        <v>2023</v>
      </c>
      <c r="B1154" s="2">
        <v>12</v>
      </c>
      <c r="C1154" s="2" t="s">
        <v>160</v>
      </c>
      <c r="D1154" s="3">
        <v>45263</v>
      </c>
      <c r="E1154" s="7">
        <v>464</v>
      </c>
      <c r="F1154" s="2" t="s">
        <v>14</v>
      </c>
      <c r="G1154" s="1">
        <v>129</v>
      </c>
      <c r="H1154" s="6">
        <v>335</v>
      </c>
      <c r="I1154" s="1">
        <v>69</v>
      </c>
      <c r="J1154" s="116" t="str">
        <f t="shared" si="17"/>
        <v>주말</v>
      </c>
    </row>
    <row r="1155" spans="1:10" ht="21.75" customHeight="1" x14ac:dyDescent="0.25">
      <c r="A1155" s="2">
        <v>2023</v>
      </c>
      <c r="B1155" s="2">
        <v>12</v>
      </c>
      <c r="C1155" s="2" t="s">
        <v>161</v>
      </c>
      <c r="D1155" s="3">
        <v>45264</v>
      </c>
      <c r="E1155" s="7">
        <v>94</v>
      </c>
      <c r="F1155" s="2" t="s">
        <v>14</v>
      </c>
      <c r="G1155" s="1">
        <v>22</v>
      </c>
      <c r="H1155" s="6">
        <v>72</v>
      </c>
      <c r="I1155" s="1">
        <v>70</v>
      </c>
      <c r="J1155" s="116" t="str">
        <f t="shared" ref="J1155:J1218" si="18">+IF(OR(C1155="토",C1155="일"),"주말","평일")</f>
        <v>평일</v>
      </c>
    </row>
    <row r="1156" spans="1:10" ht="21.75" customHeight="1" x14ac:dyDescent="0.25">
      <c r="A1156" s="2">
        <v>2023</v>
      </c>
      <c r="B1156" s="2">
        <v>12</v>
      </c>
      <c r="C1156" s="2" t="s">
        <v>162</v>
      </c>
      <c r="D1156" s="3">
        <v>45265</v>
      </c>
      <c r="E1156" s="7">
        <v>139</v>
      </c>
      <c r="F1156" s="2" t="s">
        <v>14</v>
      </c>
      <c r="G1156" s="1">
        <v>36</v>
      </c>
      <c r="H1156" s="6">
        <v>103</v>
      </c>
      <c r="I1156" s="1">
        <v>71</v>
      </c>
      <c r="J1156" s="116" t="str">
        <f t="shared" si="18"/>
        <v>평일</v>
      </c>
    </row>
    <row r="1157" spans="1:10" ht="21.75" customHeight="1" x14ac:dyDescent="0.25">
      <c r="A1157" s="2">
        <v>2023</v>
      </c>
      <c r="B1157" s="2">
        <v>12</v>
      </c>
      <c r="C1157" s="2" t="s">
        <v>163</v>
      </c>
      <c r="D1157" s="3">
        <v>45266</v>
      </c>
      <c r="E1157" s="7">
        <v>135</v>
      </c>
      <c r="F1157" s="2" t="s">
        <v>14</v>
      </c>
      <c r="G1157" s="1">
        <v>37</v>
      </c>
      <c r="H1157" s="6">
        <v>98</v>
      </c>
      <c r="I1157" s="1">
        <v>72</v>
      </c>
      <c r="J1157" s="116" t="str">
        <f t="shared" si="18"/>
        <v>평일</v>
      </c>
    </row>
    <row r="1158" spans="1:10" ht="21.75" customHeight="1" x14ac:dyDescent="0.25">
      <c r="A1158" s="2">
        <v>2023</v>
      </c>
      <c r="B1158" s="2">
        <v>12</v>
      </c>
      <c r="C1158" s="2" t="s">
        <v>157</v>
      </c>
      <c r="D1158" s="3">
        <v>45267</v>
      </c>
      <c r="E1158" s="7">
        <v>250</v>
      </c>
      <c r="F1158" s="2" t="s">
        <v>14</v>
      </c>
      <c r="G1158" s="1">
        <v>36</v>
      </c>
      <c r="H1158" s="6">
        <v>214</v>
      </c>
      <c r="I1158" s="1">
        <v>73</v>
      </c>
      <c r="J1158" s="116" t="str">
        <f t="shared" si="18"/>
        <v>평일</v>
      </c>
    </row>
    <row r="1159" spans="1:10" ht="21.75" customHeight="1" x14ac:dyDescent="0.25">
      <c r="A1159" s="2">
        <v>2023</v>
      </c>
      <c r="B1159" s="2">
        <v>12</v>
      </c>
      <c r="C1159" s="2" t="s">
        <v>158</v>
      </c>
      <c r="D1159" s="3">
        <v>45268</v>
      </c>
      <c r="E1159" s="7">
        <v>193</v>
      </c>
      <c r="F1159" s="2" t="s">
        <v>14</v>
      </c>
      <c r="G1159" s="1">
        <v>62</v>
      </c>
      <c r="H1159" s="6">
        <v>131</v>
      </c>
      <c r="I1159" s="1">
        <v>74</v>
      </c>
      <c r="J1159" s="116" t="str">
        <f t="shared" si="18"/>
        <v>평일</v>
      </c>
    </row>
    <row r="1160" spans="1:10" ht="21.75" customHeight="1" x14ac:dyDescent="0.25">
      <c r="A1160" s="2">
        <v>2023</v>
      </c>
      <c r="B1160" s="2">
        <v>12</v>
      </c>
      <c r="C1160" s="2" t="s">
        <v>159</v>
      </c>
      <c r="D1160" s="3">
        <v>45269</v>
      </c>
      <c r="E1160" s="7">
        <v>602</v>
      </c>
      <c r="F1160" s="2" t="s">
        <v>14</v>
      </c>
      <c r="G1160" s="1">
        <v>202</v>
      </c>
      <c r="H1160" s="6">
        <v>400</v>
      </c>
      <c r="I1160" s="1">
        <v>75</v>
      </c>
      <c r="J1160" s="116" t="str">
        <f t="shared" si="18"/>
        <v>주말</v>
      </c>
    </row>
    <row r="1161" spans="1:10" ht="21.75" customHeight="1" x14ac:dyDescent="0.25">
      <c r="A1161" s="2">
        <v>2023</v>
      </c>
      <c r="B1161" s="2">
        <v>12</v>
      </c>
      <c r="C1161" s="2" t="s">
        <v>160</v>
      </c>
      <c r="D1161" s="3">
        <v>45270</v>
      </c>
      <c r="E1161" s="7">
        <v>482</v>
      </c>
      <c r="F1161" s="2" t="s">
        <v>14</v>
      </c>
      <c r="G1161" s="1">
        <v>184</v>
      </c>
      <c r="H1161" s="6">
        <v>298</v>
      </c>
      <c r="I1161" s="1">
        <v>76</v>
      </c>
      <c r="J1161" s="116" t="str">
        <f t="shared" si="18"/>
        <v>주말</v>
      </c>
    </row>
    <row r="1162" spans="1:10" ht="21.75" customHeight="1" x14ac:dyDescent="0.25">
      <c r="A1162" s="2">
        <v>2023</v>
      </c>
      <c r="B1162" s="2">
        <v>12</v>
      </c>
      <c r="C1162" s="2" t="s">
        <v>161</v>
      </c>
      <c r="D1162" s="3">
        <v>45271</v>
      </c>
      <c r="E1162" s="7">
        <v>161</v>
      </c>
      <c r="F1162" s="2" t="s">
        <v>14</v>
      </c>
      <c r="G1162" s="1">
        <v>36</v>
      </c>
      <c r="H1162" s="6">
        <v>125</v>
      </c>
      <c r="I1162" s="1">
        <v>77</v>
      </c>
      <c r="J1162" s="116" t="str">
        <f t="shared" si="18"/>
        <v>평일</v>
      </c>
    </row>
    <row r="1163" spans="1:10" ht="21.75" customHeight="1" x14ac:dyDescent="0.25">
      <c r="A1163" s="2">
        <v>2023</v>
      </c>
      <c r="B1163" s="2">
        <v>12</v>
      </c>
      <c r="C1163" s="2" t="s">
        <v>162</v>
      </c>
      <c r="D1163" s="3">
        <v>45272</v>
      </c>
      <c r="E1163" s="7">
        <v>188</v>
      </c>
      <c r="F1163" s="2" t="s">
        <v>14</v>
      </c>
      <c r="G1163" s="1">
        <v>30</v>
      </c>
      <c r="H1163" s="6">
        <v>158</v>
      </c>
      <c r="I1163" s="1">
        <v>78</v>
      </c>
      <c r="J1163" s="116" t="str">
        <f t="shared" si="18"/>
        <v>평일</v>
      </c>
    </row>
    <row r="1164" spans="1:10" ht="21.75" customHeight="1" x14ac:dyDescent="0.25">
      <c r="A1164" s="2">
        <v>2023</v>
      </c>
      <c r="B1164" s="2">
        <v>12</v>
      </c>
      <c r="C1164" s="2" t="s">
        <v>163</v>
      </c>
      <c r="D1164" s="3">
        <v>45273</v>
      </c>
      <c r="E1164" s="7">
        <v>236</v>
      </c>
      <c r="F1164" s="2" t="s">
        <v>14</v>
      </c>
      <c r="G1164" s="1">
        <v>58</v>
      </c>
      <c r="H1164" s="6">
        <v>178</v>
      </c>
      <c r="I1164" s="1">
        <v>79</v>
      </c>
      <c r="J1164" s="116" t="str">
        <f t="shared" si="18"/>
        <v>평일</v>
      </c>
    </row>
    <row r="1165" spans="1:10" ht="21.75" customHeight="1" x14ac:dyDescent="0.25">
      <c r="A1165" s="2">
        <v>2023</v>
      </c>
      <c r="B1165" s="2">
        <v>12</v>
      </c>
      <c r="C1165" s="2" t="s">
        <v>157</v>
      </c>
      <c r="D1165" s="3">
        <v>45274</v>
      </c>
      <c r="E1165" s="7">
        <v>154</v>
      </c>
      <c r="F1165" s="2" t="s">
        <v>14</v>
      </c>
      <c r="G1165" s="1">
        <v>64</v>
      </c>
      <c r="H1165" s="6">
        <v>90</v>
      </c>
      <c r="I1165" s="1">
        <v>80</v>
      </c>
      <c r="J1165" s="116" t="str">
        <f t="shared" si="18"/>
        <v>평일</v>
      </c>
    </row>
    <row r="1166" spans="1:10" ht="21.75" customHeight="1" x14ac:dyDescent="0.25">
      <c r="A1166" s="2">
        <v>2023</v>
      </c>
      <c r="B1166" s="2">
        <v>12</v>
      </c>
      <c r="C1166" s="2" t="s">
        <v>158</v>
      </c>
      <c r="D1166" s="3">
        <v>45275</v>
      </c>
      <c r="E1166" s="7">
        <v>451</v>
      </c>
      <c r="F1166" s="2" t="s">
        <v>14</v>
      </c>
      <c r="G1166" s="1">
        <v>70</v>
      </c>
      <c r="H1166" s="6">
        <v>381</v>
      </c>
      <c r="I1166" s="1">
        <v>81</v>
      </c>
      <c r="J1166" s="116" t="str">
        <f t="shared" si="18"/>
        <v>평일</v>
      </c>
    </row>
    <row r="1167" spans="1:10" ht="21.75" customHeight="1" x14ac:dyDescent="0.25">
      <c r="A1167" s="2">
        <v>2023</v>
      </c>
      <c r="B1167" s="2">
        <v>12</v>
      </c>
      <c r="C1167" s="2" t="s">
        <v>159</v>
      </c>
      <c r="D1167" s="3">
        <v>45276</v>
      </c>
      <c r="E1167" s="7">
        <v>619</v>
      </c>
      <c r="F1167" s="2" t="s">
        <v>14</v>
      </c>
      <c r="G1167" s="1">
        <v>236</v>
      </c>
      <c r="H1167" s="6">
        <v>383</v>
      </c>
      <c r="I1167" s="1">
        <v>82</v>
      </c>
      <c r="J1167" s="116" t="str">
        <f t="shared" si="18"/>
        <v>주말</v>
      </c>
    </row>
    <row r="1168" spans="1:10" ht="21.75" customHeight="1" x14ac:dyDescent="0.25">
      <c r="A1168" s="2">
        <v>2023</v>
      </c>
      <c r="B1168" s="2">
        <v>12</v>
      </c>
      <c r="C1168" s="2" t="s">
        <v>160</v>
      </c>
      <c r="D1168" s="3">
        <v>45277</v>
      </c>
      <c r="E1168" s="7">
        <v>542</v>
      </c>
      <c r="F1168" s="2" t="s">
        <v>14</v>
      </c>
      <c r="G1168" s="1">
        <v>190</v>
      </c>
      <c r="H1168" s="6">
        <v>352</v>
      </c>
      <c r="I1168" s="1">
        <v>83</v>
      </c>
      <c r="J1168" s="116" t="str">
        <f t="shared" si="18"/>
        <v>주말</v>
      </c>
    </row>
    <row r="1169" spans="1:10" ht="21.75" customHeight="1" x14ac:dyDescent="0.25">
      <c r="A1169" s="2">
        <v>2023</v>
      </c>
      <c r="B1169" s="2">
        <v>12</v>
      </c>
      <c r="C1169" s="2" t="s">
        <v>161</v>
      </c>
      <c r="D1169" s="3">
        <v>45278</v>
      </c>
      <c r="E1169" s="7">
        <v>263</v>
      </c>
      <c r="F1169" s="2" t="s">
        <v>14</v>
      </c>
      <c r="G1169" s="1">
        <v>88</v>
      </c>
      <c r="H1169" s="6">
        <v>175</v>
      </c>
      <c r="I1169" s="1">
        <v>84</v>
      </c>
      <c r="J1169" s="116" t="str">
        <f t="shared" si="18"/>
        <v>평일</v>
      </c>
    </row>
    <row r="1170" spans="1:10" ht="21.75" customHeight="1" x14ac:dyDescent="0.25">
      <c r="A1170" s="2">
        <v>2023</v>
      </c>
      <c r="B1170" s="2">
        <v>12</v>
      </c>
      <c r="C1170" s="2" t="s">
        <v>162</v>
      </c>
      <c r="D1170" s="3">
        <v>45279</v>
      </c>
      <c r="E1170" s="7">
        <v>234</v>
      </c>
      <c r="F1170" s="2" t="s">
        <v>14</v>
      </c>
      <c r="G1170" s="1">
        <v>73</v>
      </c>
      <c r="H1170" s="6">
        <v>161</v>
      </c>
      <c r="I1170" s="1">
        <v>85</v>
      </c>
      <c r="J1170" s="116" t="str">
        <f t="shared" si="18"/>
        <v>평일</v>
      </c>
    </row>
    <row r="1171" spans="1:10" ht="21.75" customHeight="1" x14ac:dyDescent="0.25">
      <c r="A1171" s="2">
        <v>2023</v>
      </c>
      <c r="B1171" s="2">
        <v>12</v>
      </c>
      <c r="C1171" s="2" t="s">
        <v>163</v>
      </c>
      <c r="D1171" s="3">
        <v>45280</v>
      </c>
      <c r="E1171" s="7">
        <v>332</v>
      </c>
      <c r="F1171" s="2" t="s">
        <v>14</v>
      </c>
      <c r="G1171" s="1">
        <v>119</v>
      </c>
      <c r="H1171" s="6">
        <v>213</v>
      </c>
      <c r="I1171" s="1">
        <v>86</v>
      </c>
      <c r="J1171" s="116" t="str">
        <f t="shared" si="18"/>
        <v>평일</v>
      </c>
    </row>
    <row r="1172" spans="1:10" ht="21.75" customHeight="1" x14ac:dyDescent="0.25">
      <c r="A1172" s="2">
        <v>2023</v>
      </c>
      <c r="B1172" s="2">
        <v>12</v>
      </c>
      <c r="C1172" s="2" t="s">
        <v>157</v>
      </c>
      <c r="D1172" s="3">
        <v>45281</v>
      </c>
      <c r="E1172" s="7">
        <v>265</v>
      </c>
      <c r="F1172" s="2" t="s">
        <v>14</v>
      </c>
      <c r="G1172" s="1">
        <v>82</v>
      </c>
      <c r="H1172" s="6">
        <v>183</v>
      </c>
      <c r="I1172" s="1">
        <v>87</v>
      </c>
      <c r="J1172" s="116" t="str">
        <f t="shared" si="18"/>
        <v>평일</v>
      </c>
    </row>
    <row r="1173" spans="1:10" ht="21.75" customHeight="1" x14ac:dyDescent="0.25">
      <c r="A1173" s="2">
        <v>2023</v>
      </c>
      <c r="B1173" s="2">
        <v>12</v>
      </c>
      <c r="C1173" s="2" t="s">
        <v>158</v>
      </c>
      <c r="D1173" s="3">
        <v>45282</v>
      </c>
      <c r="E1173" s="7">
        <v>370</v>
      </c>
      <c r="F1173" s="2" t="s">
        <v>14</v>
      </c>
      <c r="G1173" s="1">
        <v>108</v>
      </c>
      <c r="H1173" s="6">
        <v>262</v>
      </c>
      <c r="I1173" s="1">
        <v>88</v>
      </c>
      <c r="J1173" s="116" t="str">
        <f t="shared" si="18"/>
        <v>평일</v>
      </c>
    </row>
    <row r="1174" spans="1:10" ht="21.75" customHeight="1" x14ac:dyDescent="0.25">
      <c r="A1174" s="2">
        <v>2023</v>
      </c>
      <c r="B1174" s="2">
        <v>12</v>
      </c>
      <c r="C1174" s="2" t="s">
        <v>159</v>
      </c>
      <c r="D1174" s="3">
        <v>45283</v>
      </c>
      <c r="E1174" s="7">
        <v>690</v>
      </c>
      <c r="F1174" s="2" t="s">
        <v>14</v>
      </c>
      <c r="G1174" s="1">
        <v>287</v>
      </c>
      <c r="H1174" s="6">
        <v>403</v>
      </c>
      <c r="I1174" s="1">
        <v>89</v>
      </c>
      <c r="J1174" s="116" t="str">
        <f t="shared" si="18"/>
        <v>주말</v>
      </c>
    </row>
    <row r="1175" spans="1:10" ht="21.75" customHeight="1" x14ac:dyDescent="0.25">
      <c r="A1175" s="2">
        <v>2023</v>
      </c>
      <c r="B1175" s="2">
        <v>12</v>
      </c>
      <c r="C1175" s="2" t="s">
        <v>160</v>
      </c>
      <c r="D1175" s="3">
        <v>45284</v>
      </c>
      <c r="E1175" s="7">
        <v>713</v>
      </c>
      <c r="F1175" s="2" t="s">
        <v>14</v>
      </c>
      <c r="G1175" s="1">
        <v>272</v>
      </c>
      <c r="H1175" s="6">
        <v>441</v>
      </c>
      <c r="I1175" s="1">
        <v>90</v>
      </c>
      <c r="J1175" s="116" t="str">
        <f t="shared" si="18"/>
        <v>주말</v>
      </c>
    </row>
    <row r="1176" spans="1:10" ht="21.75" customHeight="1" x14ac:dyDescent="0.25">
      <c r="A1176" s="2">
        <v>2023</v>
      </c>
      <c r="B1176" s="2">
        <v>12</v>
      </c>
      <c r="C1176" s="2" t="s">
        <v>161</v>
      </c>
      <c r="D1176" s="3">
        <v>45285</v>
      </c>
      <c r="E1176" s="7">
        <v>799</v>
      </c>
      <c r="F1176" s="2" t="s">
        <v>14</v>
      </c>
      <c r="G1176" s="1">
        <v>254</v>
      </c>
      <c r="H1176" s="6">
        <v>545</v>
      </c>
      <c r="I1176" s="1">
        <v>91</v>
      </c>
      <c r="J1176" s="116" t="str">
        <f t="shared" si="18"/>
        <v>평일</v>
      </c>
    </row>
    <row r="1177" spans="1:10" ht="21.75" customHeight="1" x14ac:dyDescent="0.25">
      <c r="A1177" s="2">
        <v>2023</v>
      </c>
      <c r="B1177" s="2">
        <v>12</v>
      </c>
      <c r="C1177" s="2" t="s">
        <v>162</v>
      </c>
      <c r="D1177" s="3">
        <v>45286</v>
      </c>
      <c r="E1177" s="7">
        <v>399</v>
      </c>
      <c r="F1177" s="2" t="s">
        <v>14</v>
      </c>
      <c r="G1177" s="1">
        <v>156</v>
      </c>
      <c r="H1177" s="6">
        <v>243</v>
      </c>
      <c r="I1177" s="1">
        <v>92</v>
      </c>
      <c r="J1177" s="116" t="str">
        <f t="shared" si="18"/>
        <v>평일</v>
      </c>
    </row>
    <row r="1178" spans="1:10" ht="21.75" customHeight="1" x14ac:dyDescent="0.25">
      <c r="A1178" s="2">
        <v>2023</v>
      </c>
      <c r="B1178" s="2">
        <v>12</v>
      </c>
      <c r="C1178" s="2" t="s">
        <v>163</v>
      </c>
      <c r="D1178" s="3">
        <v>45287</v>
      </c>
      <c r="E1178" s="7">
        <v>421</v>
      </c>
      <c r="F1178" s="2" t="s">
        <v>14</v>
      </c>
      <c r="G1178" s="1">
        <v>138</v>
      </c>
      <c r="H1178" s="6">
        <v>283</v>
      </c>
      <c r="I1178" s="1">
        <v>93</v>
      </c>
      <c r="J1178" s="116" t="str">
        <f t="shared" si="18"/>
        <v>평일</v>
      </c>
    </row>
    <row r="1179" spans="1:10" ht="21.75" customHeight="1" x14ac:dyDescent="0.25">
      <c r="A1179" s="2">
        <v>2023</v>
      </c>
      <c r="B1179" s="2">
        <v>12</v>
      </c>
      <c r="C1179" s="2" t="s">
        <v>157</v>
      </c>
      <c r="D1179" s="3">
        <v>45288</v>
      </c>
      <c r="E1179" s="7">
        <v>564</v>
      </c>
      <c r="F1179" s="2" t="s">
        <v>14</v>
      </c>
      <c r="G1179" s="1">
        <v>207</v>
      </c>
      <c r="H1179" s="6">
        <v>357</v>
      </c>
      <c r="I1179" s="1">
        <v>94</v>
      </c>
      <c r="J1179" s="116" t="str">
        <f t="shared" si="18"/>
        <v>평일</v>
      </c>
    </row>
    <row r="1180" spans="1:10" ht="21.75" customHeight="1" x14ac:dyDescent="0.25">
      <c r="A1180" s="2">
        <v>2023</v>
      </c>
      <c r="B1180" s="2">
        <v>12</v>
      </c>
      <c r="C1180" s="2" t="s">
        <v>158</v>
      </c>
      <c r="D1180" s="3">
        <v>45289</v>
      </c>
      <c r="E1180" s="7">
        <v>689</v>
      </c>
      <c r="F1180" s="2" t="s">
        <v>14</v>
      </c>
      <c r="G1180" s="1">
        <v>312</v>
      </c>
      <c r="H1180" s="6">
        <v>377</v>
      </c>
      <c r="I1180" s="1">
        <v>95</v>
      </c>
      <c r="J1180" s="116" t="str">
        <f t="shared" si="18"/>
        <v>평일</v>
      </c>
    </row>
    <row r="1181" spans="1:10" ht="21.75" customHeight="1" x14ac:dyDescent="0.25">
      <c r="A1181" s="2">
        <v>2023</v>
      </c>
      <c r="B1181" s="2">
        <v>12</v>
      </c>
      <c r="C1181" s="2" t="s">
        <v>159</v>
      </c>
      <c r="D1181" s="3">
        <v>45290</v>
      </c>
      <c r="E1181" s="7">
        <v>772</v>
      </c>
      <c r="F1181" s="2" t="s">
        <v>14</v>
      </c>
      <c r="G1181" s="1">
        <v>363</v>
      </c>
      <c r="H1181" s="6">
        <v>409</v>
      </c>
      <c r="I1181" s="1">
        <v>96</v>
      </c>
      <c r="J1181" s="116" t="str">
        <f t="shared" si="18"/>
        <v>주말</v>
      </c>
    </row>
    <row r="1182" spans="1:10" ht="21.75" customHeight="1" x14ac:dyDescent="0.25">
      <c r="A1182" s="2">
        <v>2023</v>
      </c>
      <c r="B1182" s="2">
        <v>12</v>
      </c>
      <c r="C1182" s="2" t="s">
        <v>160</v>
      </c>
      <c r="D1182" s="3">
        <v>45291</v>
      </c>
      <c r="E1182" s="7">
        <v>1190</v>
      </c>
      <c r="F1182" s="2" t="s">
        <v>14</v>
      </c>
      <c r="G1182" s="1">
        <v>625</v>
      </c>
      <c r="H1182" s="6">
        <v>565</v>
      </c>
      <c r="I1182" s="1">
        <v>97</v>
      </c>
      <c r="J1182" s="116" t="str">
        <f t="shared" si="18"/>
        <v>주말</v>
      </c>
    </row>
    <row r="1183" spans="1:10" ht="21.75" hidden="1" customHeight="1" x14ac:dyDescent="0.25">
      <c r="A1183" s="2">
        <v>2024</v>
      </c>
      <c r="B1183" s="2">
        <v>1</v>
      </c>
      <c r="C1183" s="2" t="s">
        <v>161</v>
      </c>
      <c r="D1183" s="3">
        <v>45292</v>
      </c>
      <c r="E1183" s="7">
        <v>0</v>
      </c>
      <c r="F1183" s="2">
        <v>0</v>
      </c>
      <c r="G1183" s="1"/>
      <c r="H1183" s="1"/>
      <c r="I1183" s="1">
        <v>316</v>
      </c>
      <c r="J1183" s="116" t="str">
        <f t="shared" si="18"/>
        <v>평일</v>
      </c>
    </row>
    <row r="1184" spans="1:10" ht="21.75" hidden="1" customHeight="1" x14ac:dyDescent="0.25">
      <c r="A1184" s="2">
        <v>2024</v>
      </c>
      <c r="B1184" s="2">
        <v>1</v>
      </c>
      <c r="C1184" s="2" t="s">
        <v>162</v>
      </c>
      <c r="D1184" s="3">
        <v>45293</v>
      </c>
      <c r="E1184" s="7">
        <v>0</v>
      </c>
      <c r="F1184" s="2">
        <v>0</v>
      </c>
      <c r="G1184" s="1"/>
      <c r="H1184" s="1"/>
      <c r="I1184" s="1">
        <v>317</v>
      </c>
      <c r="J1184" s="116" t="str">
        <f t="shared" si="18"/>
        <v>평일</v>
      </c>
    </row>
    <row r="1185" spans="1:10" ht="21.75" hidden="1" customHeight="1" x14ac:dyDescent="0.25">
      <c r="A1185" s="2">
        <v>2024</v>
      </c>
      <c r="B1185" s="2">
        <v>1</v>
      </c>
      <c r="C1185" s="2" t="s">
        <v>163</v>
      </c>
      <c r="D1185" s="3">
        <v>45294</v>
      </c>
      <c r="E1185" s="7">
        <v>0</v>
      </c>
      <c r="F1185" s="2">
        <v>0</v>
      </c>
      <c r="G1185" s="1"/>
      <c r="H1185" s="1"/>
      <c r="I1185" s="1">
        <v>318</v>
      </c>
      <c r="J1185" s="116" t="str">
        <f t="shared" si="18"/>
        <v>평일</v>
      </c>
    </row>
    <row r="1186" spans="1:10" ht="21.75" hidden="1" customHeight="1" x14ac:dyDescent="0.25">
      <c r="A1186" s="2">
        <v>2024</v>
      </c>
      <c r="B1186" s="2">
        <v>1</v>
      </c>
      <c r="C1186" s="2" t="s">
        <v>157</v>
      </c>
      <c r="D1186" s="3">
        <v>45295</v>
      </c>
      <c r="E1186" s="7">
        <v>0</v>
      </c>
      <c r="F1186" s="2">
        <v>0</v>
      </c>
      <c r="G1186" s="1"/>
      <c r="H1186" s="1"/>
      <c r="I1186" s="1">
        <v>319</v>
      </c>
      <c r="J1186" s="116" t="str">
        <f t="shared" si="18"/>
        <v>평일</v>
      </c>
    </row>
    <row r="1187" spans="1:10" ht="21.75" hidden="1" customHeight="1" x14ac:dyDescent="0.25">
      <c r="A1187" s="2">
        <v>2024</v>
      </c>
      <c r="B1187" s="2">
        <v>1</v>
      </c>
      <c r="C1187" s="2" t="s">
        <v>158</v>
      </c>
      <c r="D1187" s="3">
        <v>45296</v>
      </c>
      <c r="E1187" s="7">
        <v>0</v>
      </c>
      <c r="F1187" s="2">
        <v>0</v>
      </c>
      <c r="G1187" s="1"/>
      <c r="H1187" s="1"/>
      <c r="I1187" s="1">
        <v>320</v>
      </c>
      <c r="J1187" s="116" t="str">
        <f t="shared" si="18"/>
        <v>평일</v>
      </c>
    </row>
    <row r="1188" spans="1:10" ht="21.75" hidden="1" customHeight="1" x14ac:dyDescent="0.25">
      <c r="A1188" s="2">
        <v>2024</v>
      </c>
      <c r="B1188" s="2">
        <v>1</v>
      </c>
      <c r="C1188" s="2" t="s">
        <v>159</v>
      </c>
      <c r="D1188" s="3">
        <v>45297</v>
      </c>
      <c r="E1188" s="7">
        <v>0</v>
      </c>
      <c r="F1188" s="2">
        <v>0</v>
      </c>
      <c r="G1188" s="1"/>
      <c r="H1188" s="1"/>
      <c r="I1188" s="1">
        <v>321</v>
      </c>
      <c r="J1188" s="116" t="str">
        <f t="shared" si="18"/>
        <v>주말</v>
      </c>
    </row>
    <row r="1189" spans="1:10" ht="21.75" hidden="1" customHeight="1" x14ac:dyDescent="0.25">
      <c r="A1189" s="2">
        <v>2024</v>
      </c>
      <c r="B1189" s="2">
        <v>1</v>
      </c>
      <c r="C1189" s="2" t="s">
        <v>160</v>
      </c>
      <c r="D1189" s="3">
        <v>45298</v>
      </c>
      <c r="E1189" s="7">
        <v>0</v>
      </c>
      <c r="F1189" s="2">
        <v>0</v>
      </c>
      <c r="G1189" s="1"/>
      <c r="H1189" s="1"/>
      <c r="I1189" s="1">
        <v>322</v>
      </c>
      <c r="J1189" s="116" t="str">
        <f t="shared" si="18"/>
        <v>주말</v>
      </c>
    </row>
    <row r="1190" spans="1:10" ht="21.75" hidden="1" customHeight="1" x14ac:dyDescent="0.25">
      <c r="A1190" s="2">
        <v>2024</v>
      </c>
      <c r="B1190" s="2">
        <v>1</v>
      </c>
      <c r="C1190" s="2" t="s">
        <v>161</v>
      </c>
      <c r="D1190" s="3">
        <v>45299</v>
      </c>
      <c r="E1190" s="7">
        <v>0</v>
      </c>
      <c r="F1190" s="2">
        <v>0</v>
      </c>
      <c r="G1190" s="1"/>
      <c r="H1190" s="1"/>
      <c r="I1190" s="1">
        <v>323</v>
      </c>
      <c r="J1190" s="116" t="str">
        <f t="shared" si="18"/>
        <v>평일</v>
      </c>
    </row>
    <row r="1191" spans="1:10" ht="21.75" hidden="1" customHeight="1" x14ac:dyDescent="0.25">
      <c r="A1191" s="2">
        <v>2024</v>
      </c>
      <c r="B1191" s="2">
        <v>1</v>
      </c>
      <c r="C1191" s="2" t="s">
        <v>162</v>
      </c>
      <c r="D1191" s="3">
        <v>45300</v>
      </c>
      <c r="E1191" s="7">
        <v>0</v>
      </c>
      <c r="F1191" s="2">
        <v>0</v>
      </c>
      <c r="G1191" s="1"/>
      <c r="H1191" s="1"/>
      <c r="I1191" s="1">
        <v>324</v>
      </c>
      <c r="J1191" s="116" t="str">
        <f t="shared" si="18"/>
        <v>평일</v>
      </c>
    </row>
    <row r="1192" spans="1:10" ht="21.75" hidden="1" customHeight="1" x14ac:dyDescent="0.25">
      <c r="A1192" s="2">
        <v>2024</v>
      </c>
      <c r="B1192" s="2">
        <v>1</v>
      </c>
      <c r="C1192" s="2" t="s">
        <v>163</v>
      </c>
      <c r="D1192" s="3">
        <v>45301</v>
      </c>
      <c r="E1192" s="7">
        <v>0</v>
      </c>
      <c r="F1192" s="2">
        <v>0</v>
      </c>
      <c r="G1192" s="1"/>
      <c r="H1192" s="1"/>
      <c r="I1192" s="1">
        <v>325</v>
      </c>
      <c r="J1192" s="116" t="str">
        <f t="shared" si="18"/>
        <v>평일</v>
      </c>
    </row>
    <row r="1193" spans="1:10" ht="21.75" hidden="1" customHeight="1" x14ac:dyDescent="0.25">
      <c r="A1193" s="2">
        <v>2024</v>
      </c>
      <c r="B1193" s="2">
        <v>1</v>
      </c>
      <c r="C1193" s="2" t="s">
        <v>157</v>
      </c>
      <c r="D1193" s="3">
        <v>45302</v>
      </c>
      <c r="E1193" s="7">
        <v>0</v>
      </c>
      <c r="F1193" s="2">
        <v>0</v>
      </c>
      <c r="G1193" s="1"/>
      <c r="H1193" s="1"/>
      <c r="I1193" s="1">
        <v>326</v>
      </c>
      <c r="J1193" s="116" t="str">
        <f t="shared" si="18"/>
        <v>평일</v>
      </c>
    </row>
    <row r="1194" spans="1:10" ht="21.75" hidden="1" customHeight="1" x14ac:dyDescent="0.25">
      <c r="A1194" s="2">
        <v>2024</v>
      </c>
      <c r="B1194" s="2">
        <v>1</v>
      </c>
      <c r="C1194" s="2" t="s">
        <v>158</v>
      </c>
      <c r="D1194" s="3">
        <v>45303</v>
      </c>
      <c r="E1194" s="7">
        <v>0</v>
      </c>
      <c r="F1194" s="2">
        <v>0</v>
      </c>
      <c r="G1194" s="1"/>
      <c r="H1194" s="1"/>
      <c r="I1194" s="1">
        <v>327</v>
      </c>
      <c r="J1194" s="116" t="str">
        <f t="shared" si="18"/>
        <v>평일</v>
      </c>
    </row>
    <row r="1195" spans="1:10" ht="21.75" hidden="1" customHeight="1" x14ac:dyDescent="0.25">
      <c r="A1195" s="2">
        <v>2024</v>
      </c>
      <c r="B1195" s="2">
        <v>1</v>
      </c>
      <c r="C1195" s="2" t="s">
        <v>159</v>
      </c>
      <c r="D1195" s="3">
        <v>45304</v>
      </c>
      <c r="E1195" s="7">
        <v>0</v>
      </c>
      <c r="F1195" s="2">
        <v>0</v>
      </c>
      <c r="G1195" s="1"/>
      <c r="H1195" s="1"/>
      <c r="I1195" s="1">
        <v>328</v>
      </c>
      <c r="J1195" s="116" t="str">
        <f t="shared" si="18"/>
        <v>주말</v>
      </c>
    </row>
    <row r="1196" spans="1:10" ht="21.75" hidden="1" customHeight="1" x14ac:dyDescent="0.25">
      <c r="A1196" s="2">
        <v>2024</v>
      </c>
      <c r="B1196" s="2">
        <v>1</v>
      </c>
      <c r="C1196" s="2" t="s">
        <v>160</v>
      </c>
      <c r="D1196" s="3">
        <v>45305</v>
      </c>
      <c r="E1196" s="7">
        <v>0</v>
      </c>
      <c r="F1196" s="2">
        <v>0</v>
      </c>
      <c r="G1196" s="1"/>
      <c r="H1196" s="1"/>
      <c r="I1196" s="1">
        <v>329</v>
      </c>
      <c r="J1196" s="116" t="str">
        <f t="shared" si="18"/>
        <v>주말</v>
      </c>
    </row>
    <row r="1197" spans="1:10" ht="21.75" hidden="1" customHeight="1" x14ac:dyDescent="0.25">
      <c r="A1197" s="2">
        <v>2024</v>
      </c>
      <c r="B1197" s="2">
        <v>1</v>
      </c>
      <c r="C1197" s="2" t="s">
        <v>161</v>
      </c>
      <c r="D1197" s="3">
        <v>45306</v>
      </c>
      <c r="E1197" s="7">
        <v>0</v>
      </c>
      <c r="F1197" s="2">
        <v>0</v>
      </c>
      <c r="G1197" s="1"/>
      <c r="H1197" s="1"/>
      <c r="I1197" s="1">
        <v>330</v>
      </c>
      <c r="J1197" s="116" t="str">
        <f t="shared" si="18"/>
        <v>평일</v>
      </c>
    </row>
    <row r="1198" spans="1:10" ht="21.75" hidden="1" customHeight="1" x14ac:dyDescent="0.25">
      <c r="A1198" s="2">
        <v>2024</v>
      </c>
      <c r="B1198" s="2">
        <v>1</v>
      </c>
      <c r="C1198" s="2" t="s">
        <v>162</v>
      </c>
      <c r="D1198" s="3">
        <v>45307</v>
      </c>
      <c r="E1198" s="7">
        <v>0</v>
      </c>
      <c r="F1198" s="2">
        <v>0</v>
      </c>
      <c r="G1198" s="1"/>
      <c r="H1198" s="1"/>
      <c r="I1198" s="1">
        <v>331</v>
      </c>
      <c r="J1198" s="116" t="str">
        <f t="shared" si="18"/>
        <v>평일</v>
      </c>
    </row>
    <row r="1199" spans="1:10" ht="21.75" hidden="1" customHeight="1" x14ac:dyDescent="0.25">
      <c r="A1199" s="2">
        <v>2024</v>
      </c>
      <c r="B1199" s="2">
        <v>1</v>
      </c>
      <c r="C1199" s="2" t="s">
        <v>163</v>
      </c>
      <c r="D1199" s="3">
        <v>45308</v>
      </c>
      <c r="E1199" s="7">
        <v>0</v>
      </c>
      <c r="F1199" s="2">
        <v>0</v>
      </c>
      <c r="G1199" s="1"/>
      <c r="H1199" s="1"/>
      <c r="I1199" s="1">
        <v>332</v>
      </c>
      <c r="J1199" s="116" t="str">
        <f t="shared" si="18"/>
        <v>평일</v>
      </c>
    </row>
    <row r="1200" spans="1:10" ht="21.75" hidden="1" customHeight="1" x14ac:dyDescent="0.25">
      <c r="A1200" s="2">
        <v>2024</v>
      </c>
      <c r="B1200" s="2">
        <v>1</v>
      </c>
      <c r="C1200" s="2" t="s">
        <v>157</v>
      </c>
      <c r="D1200" s="3">
        <v>45309</v>
      </c>
      <c r="E1200" s="7">
        <v>0</v>
      </c>
      <c r="F1200" s="2">
        <v>0</v>
      </c>
      <c r="G1200" s="1"/>
      <c r="H1200" s="1"/>
      <c r="I1200" s="1">
        <v>333</v>
      </c>
      <c r="J1200" s="116" t="str">
        <f t="shared" si="18"/>
        <v>평일</v>
      </c>
    </row>
    <row r="1201" spans="1:10" ht="21.75" hidden="1" customHeight="1" x14ac:dyDescent="0.25">
      <c r="A1201" s="2">
        <v>2024</v>
      </c>
      <c r="B1201" s="2">
        <v>1</v>
      </c>
      <c r="C1201" s="2" t="s">
        <v>158</v>
      </c>
      <c r="D1201" s="3">
        <v>45310</v>
      </c>
      <c r="E1201" s="7">
        <v>0</v>
      </c>
      <c r="F1201" s="2">
        <v>0</v>
      </c>
      <c r="G1201" s="1"/>
      <c r="H1201" s="1"/>
      <c r="I1201" s="1">
        <v>334</v>
      </c>
      <c r="J1201" s="116" t="str">
        <f t="shared" si="18"/>
        <v>평일</v>
      </c>
    </row>
    <row r="1202" spans="1:10" ht="21.75" hidden="1" customHeight="1" x14ac:dyDescent="0.25">
      <c r="A1202" s="2">
        <v>2024</v>
      </c>
      <c r="B1202" s="2">
        <v>1</v>
      </c>
      <c r="C1202" s="2" t="s">
        <v>159</v>
      </c>
      <c r="D1202" s="3">
        <v>45311</v>
      </c>
      <c r="E1202" s="7">
        <v>0</v>
      </c>
      <c r="F1202" s="2">
        <v>0</v>
      </c>
      <c r="G1202" s="1"/>
      <c r="H1202" s="1"/>
      <c r="I1202" s="1">
        <v>335</v>
      </c>
      <c r="J1202" s="116" t="str">
        <f t="shared" si="18"/>
        <v>주말</v>
      </c>
    </row>
    <row r="1203" spans="1:10" ht="21.75" hidden="1" customHeight="1" x14ac:dyDescent="0.25">
      <c r="A1203" s="2">
        <v>2024</v>
      </c>
      <c r="B1203" s="2">
        <v>1</v>
      </c>
      <c r="C1203" s="2" t="s">
        <v>160</v>
      </c>
      <c r="D1203" s="3">
        <v>45312</v>
      </c>
      <c r="E1203" s="7">
        <v>0</v>
      </c>
      <c r="F1203" s="2">
        <v>0</v>
      </c>
      <c r="G1203" s="1"/>
      <c r="H1203" s="1"/>
      <c r="I1203" s="1">
        <v>336</v>
      </c>
      <c r="J1203" s="116" t="str">
        <f t="shared" si="18"/>
        <v>주말</v>
      </c>
    </row>
    <row r="1204" spans="1:10" ht="21.75" hidden="1" customHeight="1" x14ac:dyDescent="0.25">
      <c r="A1204" s="2">
        <v>2024</v>
      </c>
      <c r="B1204" s="2">
        <v>1</v>
      </c>
      <c r="C1204" s="2" t="s">
        <v>161</v>
      </c>
      <c r="D1204" s="3">
        <v>45313</v>
      </c>
      <c r="E1204" s="7">
        <v>0</v>
      </c>
      <c r="F1204" s="2">
        <v>0</v>
      </c>
      <c r="G1204" s="1"/>
      <c r="H1204" s="1"/>
      <c r="I1204" s="1">
        <v>337</v>
      </c>
      <c r="J1204" s="116" t="str">
        <f t="shared" si="18"/>
        <v>평일</v>
      </c>
    </row>
    <row r="1205" spans="1:10" ht="21.75" hidden="1" customHeight="1" x14ac:dyDescent="0.25">
      <c r="A1205" s="2">
        <v>2024</v>
      </c>
      <c r="B1205" s="2">
        <v>1</v>
      </c>
      <c r="C1205" s="2" t="s">
        <v>162</v>
      </c>
      <c r="D1205" s="3">
        <v>45314</v>
      </c>
      <c r="E1205" s="7">
        <v>0</v>
      </c>
      <c r="F1205" s="2">
        <v>0</v>
      </c>
      <c r="G1205" s="1"/>
      <c r="H1205" s="1"/>
      <c r="I1205" s="1">
        <v>338</v>
      </c>
      <c r="J1205" s="116" t="str">
        <f t="shared" si="18"/>
        <v>평일</v>
      </c>
    </row>
    <row r="1206" spans="1:10" ht="21.75" hidden="1" customHeight="1" x14ac:dyDescent="0.25">
      <c r="A1206" s="2">
        <v>2024</v>
      </c>
      <c r="B1206" s="2">
        <v>1</v>
      </c>
      <c r="C1206" s="2" t="s">
        <v>163</v>
      </c>
      <c r="D1206" s="3">
        <v>45315</v>
      </c>
      <c r="E1206" s="7">
        <v>0</v>
      </c>
      <c r="F1206" s="2">
        <v>0</v>
      </c>
      <c r="G1206" s="1"/>
      <c r="H1206" s="1"/>
      <c r="I1206" s="1">
        <v>339</v>
      </c>
      <c r="J1206" s="116" t="str">
        <f t="shared" si="18"/>
        <v>평일</v>
      </c>
    </row>
    <row r="1207" spans="1:10" ht="21.75" hidden="1" customHeight="1" x14ac:dyDescent="0.25">
      <c r="A1207" s="2">
        <v>2024</v>
      </c>
      <c r="B1207" s="2">
        <v>1</v>
      </c>
      <c r="C1207" s="2" t="s">
        <v>157</v>
      </c>
      <c r="D1207" s="3">
        <v>45316</v>
      </c>
      <c r="E1207" s="7">
        <v>0</v>
      </c>
      <c r="F1207" s="2">
        <v>0</v>
      </c>
      <c r="G1207" s="1"/>
      <c r="H1207" s="1"/>
      <c r="I1207" s="1">
        <v>340</v>
      </c>
      <c r="J1207" s="116" t="str">
        <f t="shared" si="18"/>
        <v>평일</v>
      </c>
    </row>
    <row r="1208" spans="1:10" ht="21.75" hidden="1" customHeight="1" x14ac:dyDescent="0.25">
      <c r="A1208" s="2">
        <v>2024</v>
      </c>
      <c r="B1208" s="2">
        <v>1</v>
      </c>
      <c r="C1208" s="2" t="s">
        <v>158</v>
      </c>
      <c r="D1208" s="3">
        <v>45317</v>
      </c>
      <c r="E1208" s="7">
        <v>0</v>
      </c>
      <c r="F1208" s="2">
        <v>0</v>
      </c>
      <c r="G1208" s="1"/>
      <c r="H1208" s="1"/>
      <c r="I1208" s="1">
        <v>341</v>
      </c>
      <c r="J1208" s="116" t="str">
        <f t="shared" si="18"/>
        <v>평일</v>
      </c>
    </row>
    <row r="1209" spans="1:10" ht="21.75" hidden="1" customHeight="1" x14ac:dyDescent="0.25">
      <c r="A1209" s="2">
        <v>2024</v>
      </c>
      <c r="B1209" s="2">
        <v>1</v>
      </c>
      <c r="C1209" s="2" t="s">
        <v>159</v>
      </c>
      <c r="D1209" s="3">
        <v>45318</v>
      </c>
      <c r="E1209" s="7">
        <v>0</v>
      </c>
      <c r="F1209" s="2">
        <v>0</v>
      </c>
      <c r="G1209" s="1"/>
      <c r="H1209" s="1"/>
      <c r="I1209" s="1">
        <v>342</v>
      </c>
      <c r="J1209" s="116" t="str">
        <f t="shared" si="18"/>
        <v>주말</v>
      </c>
    </row>
    <row r="1210" spans="1:10" ht="21.75" hidden="1" customHeight="1" x14ac:dyDescent="0.25">
      <c r="A1210" s="2">
        <v>2024</v>
      </c>
      <c r="B1210" s="2">
        <v>1</v>
      </c>
      <c r="C1210" s="2" t="s">
        <v>160</v>
      </c>
      <c r="D1210" s="3">
        <v>45319</v>
      </c>
      <c r="E1210" s="7">
        <v>0</v>
      </c>
      <c r="F1210" s="2">
        <v>0</v>
      </c>
      <c r="G1210" s="1"/>
      <c r="H1210" s="1"/>
      <c r="I1210" s="1">
        <v>343</v>
      </c>
      <c r="J1210" s="116" t="str">
        <f t="shared" si="18"/>
        <v>주말</v>
      </c>
    </row>
    <row r="1211" spans="1:10" ht="21.75" hidden="1" customHeight="1" x14ac:dyDescent="0.25">
      <c r="A1211" s="2">
        <v>2024</v>
      </c>
      <c r="B1211" s="2">
        <v>1</v>
      </c>
      <c r="C1211" s="2" t="s">
        <v>161</v>
      </c>
      <c r="D1211" s="3">
        <v>45320</v>
      </c>
      <c r="E1211" s="7">
        <v>0</v>
      </c>
      <c r="F1211" s="2">
        <v>0</v>
      </c>
      <c r="G1211" s="1"/>
      <c r="H1211" s="1"/>
      <c r="I1211" s="1">
        <v>344</v>
      </c>
      <c r="J1211" s="116" t="str">
        <f t="shared" si="18"/>
        <v>평일</v>
      </c>
    </row>
    <row r="1212" spans="1:10" ht="21.75" hidden="1" customHeight="1" x14ac:dyDescent="0.25">
      <c r="A1212" s="2">
        <v>2024</v>
      </c>
      <c r="B1212" s="2">
        <v>1</v>
      </c>
      <c r="C1212" s="2" t="s">
        <v>162</v>
      </c>
      <c r="D1212" s="3">
        <v>45321</v>
      </c>
      <c r="E1212" s="7">
        <v>0</v>
      </c>
      <c r="F1212" s="2">
        <v>0</v>
      </c>
      <c r="G1212" s="1"/>
      <c r="H1212" s="1"/>
      <c r="I1212" s="1">
        <v>345</v>
      </c>
      <c r="J1212" s="116" t="str">
        <f t="shared" si="18"/>
        <v>평일</v>
      </c>
    </row>
    <row r="1213" spans="1:10" ht="21.75" hidden="1" customHeight="1" x14ac:dyDescent="0.25">
      <c r="A1213" s="2">
        <v>2024</v>
      </c>
      <c r="B1213" s="2">
        <v>1</v>
      </c>
      <c r="C1213" s="2" t="s">
        <v>163</v>
      </c>
      <c r="D1213" s="3">
        <v>45322</v>
      </c>
      <c r="E1213" s="7">
        <v>0</v>
      </c>
      <c r="F1213" s="2">
        <v>0</v>
      </c>
      <c r="G1213" s="1"/>
      <c r="H1213" s="1"/>
      <c r="I1213" s="1">
        <v>346</v>
      </c>
      <c r="J1213" s="116" t="str">
        <f t="shared" si="18"/>
        <v>평일</v>
      </c>
    </row>
    <row r="1214" spans="1:10" ht="21.75" hidden="1" customHeight="1" x14ac:dyDescent="0.25">
      <c r="A1214" s="2">
        <v>2024</v>
      </c>
      <c r="B1214" s="2">
        <v>2</v>
      </c>
      <c r="C1214" s="2" t="s">
        <v>157</v>
      </c>
      <c r="D1214" s="3">
        <v>45323</v>
      </c>
      <c r="E1214" s="7">
        <v>0</v>
      </c>
      <c r="F1214" s="2">
        <v>0</v>
      </c>
      <c r="G1214" s="1"/>
      <c r="H1214" s="1"/>
      <c r="I1214" s="1">
        <v>347</v>
      </c>
      <c r="J1214" s="116" t="str">
        <f t="shared" si="18"/>
        <v>평일</v>
      </c>
    </row>
    <row r="1215" spans="1:10" ht="21.75" hidden="1" customHeight="1" x14ac:dyDescent="0.25">
      <c r="A1215" s="2">
        <v>2024</v>
      </c>
      <c r="B1215" s="2">
        <v>2</v>
      </c>
      <c r="C1215" s="2" t="s">
        <v>158</v>
      </c>
      <c r="D1215" s="3">
        <v>45324</v>
      </c>
      <c r="E1215" s="7">
        <v>0</v>
      </c>
      <c r="F1215" s="2">
        <v>0</v>
      </c>
      <c r="G1215" s="1"/>
      <c r="H1215" s="1"/>
      <c r="I1215" s="1">
        <v>348</v>
      </c>
      <c r="J1215" s="116" t="str">
        <f t="shared" si="18"/>
        <v>평일</v>
      </c>
    </row>
    <row r="1216" spans="1:10" ht="21.75" hidden="1" customHeight="1" x14ac:dyDescent="0.25">
      <c r="A1216" s="2">
        <v>2024</v>
      </c>
      <c r="B1216" s="2">
        <v>2</v>
      </c>
      <c r="C1216" s="2" t="s">
        <v>159</v>
      </c>
      <c r="D1216" s="3">
        <v>45325</v>
      </c>
      <c r="E1216" s="7">
        <v>0</v>
      </c>
      <c r="F1216" s="2">
        <v>0</v>
      </c>
      <c r="G1216" s="1"/>
      <c r="H1216" s="1"/>
      <c r="I1216" s="1">
        <v>349</v>
      </c>
      <c r="J1216" s="116" t="str">
        <f t="shared" si="18"/>
        <v>주말</v>
      </c>
    </row>
    <row r="1217" spans="1:10" ht="21.75" hidden="1" customHeight="1" x14ac:dyDescent="0.25">
      <c r="A1217" s="2">
        <v>2024</v>
      </c>
      <c r="B1217" s="2">
        <v>2</v>
      </c>
      <c r="C1217" s="2" t="s">
        <v>160</v>
      </c>
      <c r="D1217" s="3">
        <v>45326</v>
      </c>
      <c r="E1217" s="7">
        <v>0</v>
      </c>
      <c r="F1217" s="2">
        <v>0</v>
      </c>
      <c r="G1217" s="1"/>
      <c r="H1217" s="1"/>
      <c r="I1217" s="1">
        <v>350</v>
      </c>
      <c r="J1217" s="116" t="str">
        <f t="shared" si="18"/>
        <v>주말</v>
      </c>
    </row>
    <row r="1218" spans="1:10" ht="21.75" hidden="1" customHeight="1" x14ac:dyDescent="0.25">
      <c r="A1218" s="2">
        <v>2024</v>
      </c>
      <c r="B1218" s="2">
        <v>2</v>
      </c>
      <c r="C1218" s="2" t="s">
        <v>161</v>
      </c>
      <c r="D1218" s="3">
        <v>45327</v>
      </c>
      <c r="E1218" s="7">
        <v>0</v>
      </c>
      <c r="F1218" s="2">
        <v>0</v>
      </c>
      <c r="G1218" s="1"/>
      <c r="H1218" s="1"/>
      <c r="I1218" s="1">
        <v>351</v>
      </c>
      <c r="J1218" s="116" t="str">
        <f t="shared" si="18"/>
        <v>평일</v>
      </c>
    </row>
    <row r="1219" spans="1:10" ht="21.75" hidden="1" customHeight="1" x14ac:dyDescent="0.25">
      <c r="A1219" s="2">
        <v>2024</v>
      </c>
      <c r="B1219" s="2">
        <v>2</v>
      </c>
      <c r="C1219" s="2" t="s">
        <v>162</v>
      </c>
      <c r="D1219" s="3">
        <v>45328</v>
      </c>
      <c r="E1219" s="7">
        <v>0</v>
      </c>
      <c r="F1219" s="2">
        <v>0</v>
      </c>
      <c r="G1219" s="1"/>
      <c r="H1219" s="1"/>
      <c r="I1219" s="1">
        <v>352</v>
      </c>
      <c r="J1219" s="116" t="str">
        <f t="shared" ref="J1219:J1282" si="19">+IF(OR(C1219="토",C1219="일"),"주말","평일")</f>
        <v>평일</v>
      </c>
    </row>
    <row r="1220" spans="1:10" ht="21.75" hidden="1" customHeight="1" x14ac:dyDescent="0.25">
      <c r="A1220" s="2">
        <v>2024</v>
      </c>
      <c r="B1220" s="2">
        <v>2</v>
      </c>
      <c r="C1220" s="2" t="s">
        <v>163</v>
      </c>
      <c r="D1220" s="3">
        <v>45329</v>
      </c>
      <c r="E1220" s="7">
        <v>0</v>
      </c>
      <c r="F1220" s="2">
        <v>0</v>
      </c>
      <c r="G1220" s="1"/>
      <c r="H1220" s="1"/>
      <c r="I1220" s="1">
        <v>353</v>
      </c>
      <c r="J1220" s="116" t="str">
        <f t="shared" si="19"/>
        <v>평일</v>
      </c>
    </row>
    <row r="1221" spans="1:10" ht="21.75" hidden="1" customHeight="1" x14ac:dyDescent="0.25">
      <c r="A1221" s="2">
        <v>2024</v>
      </c>
      <c r="B1221" s="2">
        <v>2</v>
      </c>
      <c r="C1221" s="2" t="s">
        <v>157</v>
      </c>
      <c r="D1221" s="3">
        <v>45330</v>
      </c>
      <c r="E1221" s="7">
        <v>0</v>
      </c>
      <c r="F1221" s="2">
        <v>0</v>
      </c>
      <c r="G1221" s="1"/>
      <c r="H1221" s="1"/>
      <c r="I1221" s="1">
        <v>354</v>
      </c>
      <c r="J1221" s="116" t="str">
        <f t="shared" si="19"/>
        <v>평일</v>
      </c>
    </row>
    <row r="1222" spans="1:10" ht="21.75" hidden="1" customHeight="1" x14ac:dyDescent="0.25">
      <c r="A1222" s="2">
        <v>2024</v>
      </c>
      <c r="B1222" s="2">
        <v>2</v>
      </c>
      <c r="C1222" s="2" t="s">
        <v>158</v>
      </c>
      <c r="D1222" s="3">
        <v>45331</v>
      </c>
      <c r="E1222" s="7">
        <v>0</v>
      </c>
      <c r="F1222" s="2">
        <v>0</v>
      </c>
      <c r="G1222" s="1"/>
      <c r="H1222" s="1"/>
      <c r="I1222" s="1">
        <v>355</v>
      </c>
      <c r="J1222" s="116" t="str">
        <f t="shared" si="19"/>
        <v>평일</v>
      </c>
    </row>
    <row r="1223" spans="1:10" ht="21.75" hidden="1" customHeight="1" x14ac:dyDescent="0.25">
      <c r="A1223" s="2">
        <v>2024</v>
      </c>
      <c r="B1223" s="2">
        <v>2</v>
      </c>
      <c r="C1223" s="2" t="s">
        <v>159</v>
      </c>
      <c r="D1223" s="3">
        <v>45332</v>
      </c>
      <c r="E1223" s="7">
        <v>0</v>
      </c>
      <c r="F1223" s="2">
        <v>0</v>
      </c>
      <c r="G1223" s="1"/>
      <c r="H1223" s="1"/>
      <c r="I1223" s="1">
        <v>356</v>
      </c>
      <c r="J1223" s="116" t="str">
        <f t="shared" si="19"/>
        <v>주말</v>
      </c>
    </row>
    <row r="1224" spans="1:10" ht="21.75" hidden="1" customHeight="1" x14ac:dyDescent="0.25">
      <c r="A1224" s="2">
        <v>2024</v>
      </c>
      <c r="B1224" s="2">
        <v>2</v>
      </c>
      <c r="C1224" s="2" t="s">
        <v>160</v>
      </c>
      <c r="D1224" s="3">
        <v>45333</v>
      </c>
      <c r="E1224" s="7">
        <v>0</v>
      </c>
      <c r="F1224" s="2">
        <v>0</v>
      </c>
      <c r="G1224" s="1"/>
      <c r="H1224" s="1"/>
      <c r="I1224" s="1">
        <v>357</v>
      </c>
      <c r="J1224" s="116" t="str">
        <f t="shared" si="19"/>
        <v>주말</v>
      </c>
    </row>
    <row r="1225" spans="1:10" ht="21.75" hidden="1" customHeight="1" x14ac:dyDescent="0.25">
      <c r="A1225" s="2">
        <v>2024</v>
      </c>
      <c r="B1225" s="2">
        <v>2</v>
      </c>
      <c r="C1225" s="2" t="s">
        <v>161</v>
      </c>
      <c r="D1225" s="3">
        <v>45334</v>
      </c>
      <c r="E1225" s="7">
        <v>0</v>
      </c>
      <c r="F1225" s="2">
        <v>0</v>
      </c>
      <c r="G1225" s="1"/>
      <c r="H1225" s="1"/>
      <c r="I1225" s="1">
        <v>358</v>
      </c>
      <c r="J1225" s="116" t="str">
        <f t="shared" si="19"/>
        <v>평일</v>
      </c>
    </row>
    <row r="1226" spans="1:10" ht="21.75" hidden="1" customHeight="1" x14ac:dyDescent="0.25">
      <c r="A1226" s="2">
        <v>2024</v>
      </c>
      <c r="B1226" s="2">
        <v>2</v>
      </c>
      <c r="C1226" s="2" t="s">
        <v>162</v>
      </c>
      <c r="D1226" s="3">
        <v>45335</v>
      </c>
      <c r="E1226" s="7">
        <v>0</v>
      </c>
      <c r="F1226" s="2">
        <v>0</v>
      </c>
      <c r="G1226" s="1"/>
      <c r="H1226" s="1"/>
      <c r="I1226" s="1">
        <v>359</v>
      </c>
      <c r="J1226" s="116" t="str">
        <f t="shared" si="19"/>
        <v>평일</v>
      </c>
    </row>
    <row r="1227" spans="1:10" ht="21.75" hidden="1" customHeight="1" x14ac:dyDescent="0.25">
      <c r="A1227" s="2">
        <v>2024</v>
      </c>
      <c r="B1227" s="2">
        <v>2</v>
      </c>
      <c r="C1227" s="2" t="s">
        <v>163</v>
      </c>
      <c r="D1227" s="3">
        <v>45336</v>
      </c>
      <c r="E1227" s="7">
        <v>0</v>
      </c>
      <c r="F1227" s="2">
        <v>0</v>
      </c>
      <c r="G1227" s="1"/>
      <c r="H1227" s="1"/>
      <c r="I1227" s="1">
        <v>360</v>
      </c>
      <c r="J1227" s="116" t="str">
        <f t="shared" si="19"/>
        <v>평일</v>
      </c>
    </row>
    <row r="1228" spans="1:10" ht="21.75" hidden="1" customHeight="1" x14ac:dyDescent="0.25">
      <c r="A1228" s="2">
        <v>2024</v>
      </c>
      <c r="B1228" s="2">
        <v>2</v>
      </c>
      <c r="C1228" s="2" t="s">
        <v>157</v>
      </c>
      <c r="D1228" s="3">
        <v>45337</v>
      </c>
      <c r="E1228" s="7">
        <v>0</v>
      </c>
      <c r="F1228" s="2">
        <v>0</v>
      </c>
      <c r="G1228" s="1"/>
      <c r="H1228" s="1"/>
      <c r="I1228" s="1">
        <v>361</v>
      </c>
      <c r="J1228" s="116" t="str">
        <f t="shared" si="19"/>
        <v>평일</v>
      </c>
    </row>
    <row r="1229" spans="1:10" ht="21.75" hidden="1" customHeight="1" x14ac:dyDescent="0.25">
      <c r="A1229" s="2">
        <v>2024</v>
      </c>
      <c r="B1229" s="2">
        <v>2</v>
      </c>
      <c r="C1229" s="2" t="s">
        <v>158</v>
      </c>
      <c r="D1229" s="3">
        <v>45338</v>
      </c>
      <c r="E1229" s="7">
        <v>0</v>
      </c>
      <c r="F1229" s="2">
        <v>0</v>
      </c>
      <c r="G1229" s="1"/>
      <c r="H1229" s="1"/>
      <c r="I1229" s="1">
        <v>362</v>
      </c>
      <c r="J1229" s="116" t="str">
        <f t="shared" si="19"/>
        <v>평일</v>
      </c>
    </row>
    <row r="1230" spans="1:10" ht="21.75" hidden="1" customHeight="1" x14ac:dyDescent="0.25">
      <c r="A1230" s="2">
        <v>2024</v>
      </c>
      <c r="B1230" s="2">
        <v>2</v>
      </c>
      <c r="C1230" s="2" t="s">
        <v>159</v>
      </c>
      <c r="D1230" s="3">
        <v>45339</v>
      </c>
      <c r="E1230" s="7">
        <v>0</v>
      </c>
      <c r="F1230" s="2">
        <v>0</v>
      </c>
      <c r="G1230" s="1"/>
      <c r="H1230" s="1"/>
      <c r="I1230" s="1">
        <v>363</v>
      </c>
      <c r="J1230" s="116" t="str">
        <f t="shared" si="19"/>
        <v>주말</v>
      </c>
    </row>
    <row r="1231" spans="1:10" ht="21.75" hidden="1" customHeight="1" x14ac:dyDescent="0.25">
      <c r="A1231" s="2">
        <v>2024</v>
      </c>
      <c r="B1231" s="2">
        <v>2</v>
      </c>
      <c r="C1231" s="2" t="s">
        <v>160</v>
      </c>
      <c r="D1231" s="3">
        <v>45340</v>
      </c>
      <c r="E1231" s="7">
        <v>0</v>
      </c>
      <c r="F1231" s="2">
        <v>0</v>
      </c>
      <c r="G1231" s="1"/>
      <c r="H1231" s="1"/>
      <c r="I1231" s="1">
        <v>364</v>
      </c>
      <c r="J1231" s="116" t="str">
        <f t="shared" si="19"/>
        <v>주말</v>
      </c>
    </row>
    <row r="1232" spans="1:10" ht="21.75" hidden="1" customHeight="1" x14ac:dyDescent="0.25">
      <c r="A1232" s="2">
        <v>2024</v>
      </c>
      <c r="B1232" s="2">
        <v>2</v>
      </c>
      <c r="C1232" s="2" t="s">
        <v>161</v>
      </c>
      <c r="D1232" s="3">
        <v>45341</v>
      </c>
      <c r="E1232" s="7">
        <v>0</v>
      </c>
      <c r="F1232" s="2">
        <v>0</v>
      </c>
      <c r="G1232" s="1"/>
      <c r="H1232" s="1"/>
      <c r="I1232" s="1">
        <v>365</v>
      </c>
      <c r="J1232" s="116" t="str">
        <f t="shared" si="19"/>
        <v>평일</v>
      </c>
    </row>
    <row r="1233" spans="1:10" ht="21.75" hidden="1" customHeight="1" x14ac:dyDescent="0.25">
      <c r="A1233" s="2">
        <v>2024</v>
      </c>
      <c r="B1233" s="2">
        <v>2</v>
      </c>
      <c r="C1233" s="2" t="s">
        <v>162</v>
      </c>
      <c r="D1233" s="3">
        <v>45342</v>
      </c>
      <c r="E1233" s="7">
        <v>0</v>
      </c>
      <c r="F1233" s="2">
        <v>0</v>
      </c>
      <c r="G1233" s="1"/>
      <c r="H1233" s="1"/>
      <c r="I1233" s="1">
        <v>366</v>
      </c>
      <c r="J1233" s="116" t="str">
        <f t="shared" si="19"/>
        <v>평일</v>
      </c>
    </row>
    <row r="1234" spans="1:10" ht="21.75" hidden="1" customHeight="1" x14ac:dyDescent="0.25">
      <c r="A1234" s="2">
        <v>2024</v>
      </c>
      <c r="B1234" s="2">
        <v>2</v>
      </c>
      <c r="C1234" s="2" t="s">
        <v>163</v>
      </c>
      <c r="D1234" s="3">
        <v>45343</v>
      </c>
      <c r="E1234" s="7">
        <v>0</v>
      </c>
      <c r="F1234" s="2">
        <v>0</v>
      </c>
      <c r="G1234" s="1"/>
      <c r="H1234" s="1"/>
      <c r="I1234" s="1">
        <v>367</v>
      </c>
      <c r="J1234" s="116" t="str">
        <f t="shared" si="19"/>
        <v>평일</v>
      </c>
    </row>
    <row r="1235" spans="1:10" ht="21.75" hidden="1" customHeight="1" x14ac:dyDescent="0.25">
      <c r="A1235" s="2">
        <v>2024</v>
      </c>
      <c r="B1235" s="2">
        <v>2</v>
      </c>
      <c r="C1235" s="2" t="s">
        <v>157</v>
      </c>
      <c r="D1235" s="3">
        <v>45344</v>
      </c>
      <c r="E1235" s="7">
        <v>0</v>
      </c>
      <c r="F1235" s="2">
        <v>0</v>
      </c>
      <c r="G1235" s="1"/>
      <c r="H1235" s="1"/>
      <c r="I1235" s="1">
        <v>368</v>
      </c>
      <c r="J1235" s="116" t="str">
        <f t="shared" si="19"/>
        <v>평일</v>
      </c>
    </row>
    <row r="1236" spans="1:10" ht="21.75" hidden="1" customHeight="1" x14ac:dyDescent="0.25">
      <c r="A1236" s="2">
        <v>2024</v>
      </c>
      <c r="B1236" s="2">
        <v>2</v>
      </c>
      <c r="C1236" s="2" t="s">
        <v>158</v>
      </c>
      <c r="D1236" s="3">
        <v>45345</v>
      </c>
      <c r="E1236" s="7">
        <v>0</v>
      </c>
      <c r="F1236" s="2">
        <v>0</v>
      </c>
      <c r="G1236" s="1"/>
      <c r="H1236" s="1"/>
      <c r="I1236" s="1">
        <v>369</v>
      </c>
      <c r="J1236" s="116" t="str">
        <f t="shared" si="19"/>
        <v>평일</v>
      </c>
    </row>
    <row r="1237" spans="1:10" ht="21.75" hidden="1" customHeight="1" x14ac:dyDescent="0.25">
      <c r="A1237" s="2">
        <v>2024</v>
      </c>
      <c r="B1237" s="2">
        <v>2</v>
      </c>
      <c r="C1237" s="2" t="s">
        <v>159</v>
      </c>
      <c r="D1237" s="3">
        <v>45346</v>
      </c>
      <c r="E1237" s="7">
        <v>626</v>
      </c>
      <c r="F1237" s="2" t="s">
        <v>15</v>
      </c>
      <c r="G1237" s="6">
        <v>91</v>
      </c>
      <c r="H1237" s="6">
        <v>535</v>
      </c>
      <c r="I1237" s="1">
        <v>1</v>
      </c>
      <c r="J1237" s="116" t="str">
        <f t="shared" si="19"/>
        <v>주말</v>
      </c>
    </row>
    <row r="1238" spans="1:10" ht="21.75" hidden="1" customHeight="1" x14ac:dyDescent="0.25">
      <c r="A1238" s="2">
        <v>2024</v>
      </c>
      <c r="B1238" s="2">
        <v>2</v>
      </c>
      <c r="C1238" s="2" t="s">
        <v>160</v>
      </c>
      <c r="D1238" s="3">
        <v>45347</v>
      </c>
      <c r="E1238" s="7">
        <v>389</v>
      </c>
      <c r="F1238" s="2" t="s">
        <v>15</v>
      </c>
      <c r="G1238" s="6">
        <v>19</v>
      </c>
      <c r="H1238" s="6">
        <v>370</v>
      </c>
      <c r="I1238" s="1">
        <v>2</v>
      </c>
      <c r="J1238" s="116" t="str">
        <f t="shared" si="19"/>
        <v>주말</v>
      </c>
    </row>
    <row r="1239" spans="1:10" ht="21.75" hidden="1" customHeight="1" x14ac:dyDescent="0.25">
      <c r="A1239" s="2">
        <v>2024</v>
      </c>
      <c r="B1239" s="2">
        <v>2</v>
      </c>
      <c r="C1239" s="2" t="s">
        <v>161</v>
      </c>
      <c r="D1239" s="3">
        <v>45348</v>
      </c>
      <c r="E1239" s="7">
        <v>135</v>
      </c>
      <c r="F1239" s="2" t="s">
        <v>15</v>
      </c>
      <c r="G1239" s="6">
        <v>14</v>
      </c>
      <c r="H1239" s="6">
        <v>121</v>
      </c>
      <c r="I1239" s="1">
        <v>3</v>
      </c>
      <c r="J1239" s="116" t="str">
        <f t="shared" si="19"/>
        <v>평일</v>
      </c>
    </row>
    <row r="1240" spans="1:10" ht="21.75" hidden="1" customHeight="1" x14ac:dyDescent="0.25">
      <c r="A1240" s="2">
        <v>2024</v>
      </c>
      <c r="B1240" s="2">
        <v>2</v>
      </c>
      <c r="C1240" s="2" t="s">
        <v>162</v>
      </c>
      <c r="D1240" s="3">
        <v>45349</v>
      </c>
      <c r="E1240" s="7">
        <v>161</v>
      </c>
      <c r="F1240" s="2" t="s">
        <v>15</v>
      </c>
      <c r="G1240" s="6">
        <v>5</v>
      </c>
      <c r="H1240" s="6">
        <v>156</v>
      </c>
      <c r="I1240" s="1">
        <v>4</v>
      </c>
      <c r="J1240" s="116" t="str">
        <f t="shared" si="19"/>
        <v>평일</v>
      </c>
    </row>
    <row r="1241" spans="1:10" ht="21.75" hidden="1" customHeight="1" x14ac:dyDescent="0.25">
      <c r="A1241" s="2">
        <v>2024</v>
      </c>
      <c r="B1241" s="2">
        <v>2</v>
      </c>
      <c r="C1241" s="2" t="s">
        <v>163</v>
      </c>
      <c r="D1241" s="3">
        <v>45350</v>
      </c>
      <c r="E1241" s="7">
        <v>175</v>
      </c>
      <c r="F1241" s="2" t="s">
        <v>15</v>
      </c>
      <c r="G1241" s="6">
        <v>27</v>
      </c>
      <c r="H1241" s="6">
        <v>148</v>
      </c>
      <c r="I1241" s="1">
        <v>5</v>
      </c>
      <c r="J1241" s="116" t="str">
        <f t="shared" si="19"/>
        <v>평일</v>
      </c>
    </row>
    <row r="1242" spans="1:10" ht="21.75" hidden="1" customHeight="1" x14ac:dyDescent="0.25">
      <c r="A1242" s="2">
        <v>2024</v>
      </c>
      <c r="B1242" s="2">
        <v>2</v>
      </c>
      <c r="C1242" s="2" t="s">
        <v>157</v>
      </c>
      <c r="D1242" s="3">
        <v>45351</v>
      </c>
      <c r="E1242" s="7">
        <v>140</v>
      </c>
      <c r="F1242" s="2" t="s">
        <v>15</v>
      </c>
      <c r="G1242" s="6">
        <v>10</v>
      </c>
      <c r="H1242" s="6">
        <v>130</v>
      </c>
      <c r="I1242" s="1">
        <v>6</v>
      </c>
      <c r="J1242" s="116" t="str">
        <f t="shared" si="19"/>
        <v>평일</v>
      </c>
    </row>
    <row r="1243" spans="1:10" ht="21.75" hidden="1" customHeight="1" x14ac:dyDescent="0.25">
      <c r="A1243" s="2">
        <v>2024</v>
      </c>
      <c r="B1243" s="2">
        <v>3</v>
      </c>
      <c r="C1243" s="2" t="s">
        <v>158</v>
      </c>
      <c r="D1243" s="3">
        <v>45352</v>
      </c>
      <c r="E1243" s="7">
        <v>637</v>
      </c>
      <c r="F1243" s="2" t="s">
        <v>15</v>
      </c>
      <c r="G1243" s="6">
        <v>63</v>
      </c>
      <c r="H1243" s="6">
        <v>574</v>
      </c>
      <c r="I1243" s="1">
        <v>7</v>
      </c>
      <c r="J1243" s="116" t="str">
        <f t="shared" si="19"/>
        <v>평일</v>
      </c>
    </row>
    <row r="1244" spans="1:10" ht="21.75" hidden="1" customHeight="1" x14ac:dyDescent="0.25">
      <c r="A1244" s="2">
        <v>2024</v>
      </c>
      <c r="B1244" s="2">
        <v>3</v>
      </c>
      <c r="C1244" s="2" t="s">
        <v>159</v>
      </c>
      <c r="D1244" s="3">
        <v>45353</v>
      </c>
      <c r="E1244" s="7">
        <v>452</v>
      </c>
      <c r="F1244" s="2" t="s">
        <v>15</v>
      </c>
      <c r="G1244" s="6">
        <v>25</v>
      </c>
      <c r="H1244" s="6">
        <v>427</v>
      </c>
      <c r="I1244" s="1">
        <v>8</v>
      </c>
      <c r="J1244" s="116" t="str">
        <f t="shared" si="19"/>
        <v>주말</v>
      </c>
    </row>
    <row r="1245" spans="1:10" ht="21.75" hidden="1" customHeight="1" x14ac:dyDescent="0.25">
      <c r="A1245" s="2">
        <v>2024</v>
      </c>
      <c r="B1245" s="2">
        <v>3</v>
      </c>
      <c r="C1245" s="2" t="s">
        <v>160</v>
      </c>
      <c r="D1245" s="3">
        <v>45354</v>
      </c>
      <c r="E1245" s="7">
        <v>241</v>
      </c>
      <c r="F1245" s="2" t="s">
        <v>15</v>
      </c>
      <c r="G1245" s="6">
        <v>30</v>
      </c>
      <c r="H1245" s="6">
        <v>211</v>
      </c>
      <c r="I1245" s="1">
        <v>9</v>
      </c>
      <c r="J1245" s="116" t="str">
        <f t="shared" si="19"/>
        <v>주말</v>
      </c>
    </row>
    <row r="1246" spans="1:10" ht="21.75" hidden="1" customHeight="1" x14ac:dyDescent="0.25">
      <c r="A1246" s="2">
        <v>2024</v>
      </c>
      <c r="B1246" s="2">
        <v>3</v>
      </c>
      <c r="C1246" s="2" t="s">
        <v>161</v>
      </c>
      <c r="D1246" s="3">
        <v>45355</v>
      </c>
      <c r="E1246" s="7">
        <v>0</v>
      </c>
      <c r="F1246" s="2" t="s">
        <v>15</v>
      </c>
      <c r="G1246" s="6">
        <v>0</v>
      </c>
      <c r="H1246" s="6">
        <v>0</v>
      </c>
      <c r="I1246" s="1">
        <v>10</v>
      </c>
      <c r="J1246" s="116" t="str">
        <f t="shared" si="19"/>
        <v>평일</v>
      </c>
    </row>
    <row r="1247" spans="1:10" ht="21.75" hidden="1" customHeight="1" x14ac:dyDescent="0.25">
      <c r="A1247" s="2">
        <v>2024</v>
      </c>
      <c r="B1247" s="2">
        <v>3</v>
      </c>
      <c r="C1247" s="2" t="s">
        <v>162</v>
      </c>
      <c r="D1247" s="3">
        <v>45356</v>
      </c>
      <c r="E1247" s="7">
        <v>98</v>
      </c>
      <c r="F1247" s="2" t="s">
        <v>15</v>
      </c>
      <c r="G1247" s="6">
        <v>13</v>
      </c>
      <c r="H1247" s="6">
        <v>85</v>
      </c>
      <c r="I1247" s="1">
        <v>11</v>
      </c>
      <c r="J1247" s="116" t="str">
        <f t="shared" si="19"/>
        <v>평일</v>
      </c>
    </row>
    <row r="1248" spans="1:10" ht="21.75" hidden="1" customHeight="1" x14ac:dyDescent="0.25">
      <c r="A1248" s="2">
        <v>2024</v>
      </c>
      <c r="B1248" s="2">
        <v>3</v>
      </c>
      <c r="C1248" s="2" t="s">
        <v>163</v>
      </c>
      <c r="D1248" s="3">
        <v>45357</v>
      </c>
      <c r="E1248" s="7">
        <v>106</v>
      </c>
      <c r="F1248" s="2" t="s">
        <v>15</v>
      </c>
      <c r="G1248" s="6">
        <v>25</v>
      </c>
      <c r="H1248" s="6">
        <v>81</v>
      </c>
      <c r="I1248" s="1">
        <v>12</v>
      </c>
      <c r="J1248" s="116" t="str">
        <f t="shared" si="19"/>
        <v>평일</v>
      </c>
    </row>
    <row r="1249" spans="1:10" ht="21.75" hidden="1" customHeight="1" x14ac:dyDescent="0.25">
      <c r="A1249" s="2">
        <v>2024</v>
      </c>
      <c r="B1249" s="2">
        <v>3</v>
      </c>
      <c r="C1249" s="2" t="s">
        <v>157</v>
      </c>
      <c r="D1249" s="3">
        <v>45358</v>
      </c>
      <c r="E1249" s="11">
        <v>109</v>
      </c>
      <c r="F1249" s="2" t="s">
        <v>15</v>
      </c>
      <c r="G1249" s="6">
        <v>22</v>
      </c>
      <c r="H1249" s="6">
        <v>87</v>
      </c>
      <c r="I1249" s="1">
        <v>13</v>
      </c>
      <c r="J1249" s="116" t="str">
        <f t="shared" si="19"/>
        <v>평일</v>
      </c>
    </row>
    <row r="1250" spans="1:10" ht="21.75" hidden="1" customHeight="1" x14ac:dyDescent="0.25">
      <c r="A1250" s="2">
        <v>2024</v>
      </c>
      <c r="B1250" s="2">
        <v>3</v>
      </c>
      <c r="C1250" s="2" t="s">
        <v>158</v>
      </c>
      <c r="D1250" s="3">
        <v>45359</v>
      </c>
      <c r="E1250" s="11">
        <v>102</v>
      </c>
      <c r="F1250" s="2" t="s">
        <v>15</v>
      </c>
      <c r="G1250" s="6">
        <v>25</v>
      </c>
      <c r="H1250" s="6">
        <v>77</v>
      </c>
      <c r="I1250" s="1">
        <v>14</v>
      </c>
      <c r="J1250" s="116" t="str">
        <f t="shared" si="19"/>
        <v>평일</v>
      </c>
    </row>
    <row r="1251" spans="1:10" ht="21.75" hidden="1" customHeight="1" x14ac:dyDescent="0.25">
      <c r="A1251" s="2">
        <v>2024</v>
      </c>
      <c r="B1251" s="2">
        <v>3</v>
      </c>
      <c r="C1251" s="2" t="s">
        <v>159</v>
      </c>
      <c r="D1251" s="3">
        <v>45360</v>
      </c>
      <c r="E1251" s="11">
        <v>413</v>
      </c>
      <c r="F1251" s="2" t="s">
        <v>15</v>
      </c>
      <c r="G1251" s="6">
        <v>48</v>
      </c>
      <c r="H1251" s="6">
        <v>365</v>
      </c>
      <c r="I1251" s="1">
        <v>15</v>
      </c>
      <c r="J1251" s="116" t="str">
        <f t="shared" si="19"/>
        <v>주말</v>
      </c>
    </row>
    <row r="1252" spans="1:10" ht="21.75" hidden="1" customHeight="1" x14ac:dyDescent="0.25">
      <c r="A1252" s="2">
        <v>2024</v>
      </c>
      <c r="B1252" s="2">
        <v>3</v>
      </c>
      <c r="C1252" s="2" t="s">
        <v>160</v>
      </c>
      <c r="D1252" s="3">
        <v>45361</v>
      </c>
      <c r="E1252" s="11">
        <v>282</v>
      </c>
      <c r="F1252" s="2" t="s">
        <v>15</v>
      </c>
      <c r="G1252" s="6">
        <v>51</v>
      </c>
      <c r="H1252" s="6">
        <v>231</v>
      </c>
      <c r="I1252" s="1">
        <v>16</v>
      </c>
      <c r="J1252" s="116" t="str">
        <f t="shared" si="19"/>
        <v>주말</v>
      </c>
    </row>
    <row r="1253" spans="1:10" ht="21.75" hidden="1" customHeight="1" x14ac:dyDescent="0.25">
      <c r="A1253" s="2">
        <v>2024</v>
      </c>
      <c r="B1253" s="2">
        <v>3</v>
      </c>
      <c r="C1253" s="2" t="s">
        <v>161</v>
      </c>
      <c r="D1253" s="3">
        <v>45362</v>
      </c>
      <c r="E1253" s="11">
        <v>114</v>
      </c>
      <c r="F1253" s="2" t="s">
        <v>15</v>
      </c>
      <c r="G1253" s="6">
        <v>14</v>
      </c>
      <c r="H1253" s="6">
        <v>100</v>
      </c>
      <c r="I1253" s="1">
        <v>17</v>
      </c>
      <c r="J1253" s="116" t="str">
        <f t="shared" si="19"/>
        <v>평일</v>
      </c>
    </row>
    <row r="1254" spans="1:10" ht="21.75" hidden="1" customHeight="1" x14ac:dyDescent="0.25">
      <c r="A1254" s="2">
        <v>2024</v>
      </c>
      <c r="B1254" s="2">
        <v>3</v>
      </c>
      <c r="C1254" s="2" t="s">
        <v>162</v>
      </c>
      <c r="D1254" s="3">
        <v>45363</v>
      </c>
      <c r="E1254" s="11">
        <v>109</v>
      </c>
      <c r="F1254" s="2" t="s">
        <v>15</v>
      </c>
      <c r="G1254" s="6">
        <v>20</v>
      </c>
      <c r="H1254" s="6">
        <v>89</v>
      </c>
      <c r="I1254" s="1">
        <v>18</v>
      </c>
      <c r="J1254" s="116" t="str">
        <f t="shared" si="19"/>
        <v>평일</v>
      </c>
    </row>
    <row r="1255" spans="1:10" ht="21.75" hidden="1" customHeight="1" x14ac:dyDescent="0.25">
      <c r="A1255" s="2">
        <v>2024</v>
      </c>
      <c r="B1255" s="2">
        <v>3</v>
      </c>
      <c r="C1255" s="2" t="s">
        <v>163</v>
      </c>
      <c r="D1255" s="3">
        <v>45364</v>
      </c>
      <c r="E1255" s="11">
        <v>125</v>
      </c>
      <c r="F1255" s="2" t="s">
        <v>15</v>
      </c>
      <c r="G1255" s="6">
        <v>14</v>
      </c>
      <c r="H1255" s="6">
        <v>111</v>
      </c>
      <c r="I1255" s="1">
        <v>19</v>
      </c>
      <c r="J1255" s="116" t="str">
        <f t="shared" si="19"/>
        <v>평일</v>
      </c>
    </row>
    <row r="1256" spans="1:10" ht="21.75" hidden="1" customHeight="1" x14ac:dyDescent="0.25">
      <c r="A1256" s="2">
        <v>2024</v>
      </c>
      <c r="B1256" s="2">
        <v>3</v>
      </c>
      <c r="C1256" s="2" t="s">
        <v>157</v>
      </c>
      <c r="D1256" s="3">
        <v>45365</v>
      </c>
      <c r="E1256" s="11">
        <v>86</v>
      </c>
      <c r="F1256" s="2" t="s">
        <v>15</v>
      </c>
      <c r="G1256" s="6">
        <v>16</v>
      </c>
      <c r="H1256" s="6">
        <v>70</v>
      </c>
      <c r="I1256" s="1">
        <v>20</v>
      </c>
      <c r="J1256" s="116" t="str">
        <f t="shared" si="19"/>
        <v>평일</v>
      </c>
    </row>
    <row r="1257" spans="1:10" ht="21.75" hidden="1" customHeight="1" x14ac:dyDescent="0.25">
      <c r="A1257" s="2">
        <v>2024</v>
      </c>
      <c r="B1257" s="2">
        <v>3</v>
      </c>
      <c r="C1257" s="2" t="s">
        <v>158</v>
      </c>
      <c r="D1257" s="3">
        <v>45366</v>
      </c>
      <c r="E1257" s="7">
        <v>154</v>
      </c>
      <c r="F1257" s="2" t="s">
        <v>15</v>
      </c>
      <c r="G1257" s="6">
        <v>32</v>
      </c>
      <c r="H1257" s="6">
        <v>122</v>
      </c>
      <c r="I1257" s="1">
        <v>21</v>
      </c>
      <c r="J1257" s="116" t="str">
        <f t="shared" si="19"/>
        <v>평일</v>
      </c>
    </row>
    <row r="1258" spans="1:10" ht="21.75" hidden="1" customHeight="1" x14ac:dyDescent="0.25">
      <c r="A1258" s="2">
        <v>2024</v>
      </c>
      <c r="B1258" s="2">
        <v>3</v>
      </c>
      <c r="C1258" s="2" t="s">
        <v>159</v>
      </c>
      <c r="D1258" s="3">
        <v>45367</v>
      </c>
      <c r="E1258" s="7">
        <v>358</v>
      </c>
      <c r="F1258" s="2" t="s">
        <v>15</v>
      </c>
      <c r="G1258" s="6">
        <v>68</v>
      </c>
      <c r="H1258" s="6">
        <v>290</v>
      </c>
      <c r="I1258" s="1">
        <v>22</v>
      </c>
      <c r="J1258" s="116" t="str">
        <f t="shared" si="19"/>
        <v>주말</v>
      </c>
    </row>
    <row r="1259" spans="1:10" ht="21.75" hidden="1" customHeight="1" x14ac:dyDescent="0.25">
      <c r="A1259" s="2">
        <v>2024</v>
      </c>
      <c r="B1259" s="2">
        <v>3</v>
      </c>
      <c r="C1259" s="2" t="s">
        <v>160</v>
      </c>
      <c r="D1259" s="3">
        <v>45368</v>
      </c>
      <c r="E1259" s="7">
        <v>311</v>
      </c>
      <c r="F1259" s="2" t="s">
        <v>15</v>
      </c>
      <c r="G1259" s="6">
        <v>65</v>
      </c>
      <c r="H1259" s="6">
        <v>246</v>
      </c>
      <c r="I1259" s="1">
        <v>23</v>
      </c>
      <c r="J1259" s="116" t="str">
        <f t="shared" si="19"/>
        <v>주말</v>
      </c>
    </row>
    <row r="1260" spans="1:10" ht="21.75" hidden="1" customHeight="1" x14ac:dyDescent="0.25">
      <c r="A1260" s="2">
        <v>2024</v>
      </c>
      <c r="B1260" s="2">
        <v>3</v>
      </c>
      <c r="C1260" s="2" t="s">
        <v>161</v>
      </c>
      <c r="D1260" s="3">
        <v>45369</v>
      </c>
      <c r="E1260" s="7">
        <v>101</v>
      </c>
      <c r="F1260" s="2" t="s">
        <v>15</v>
      </c>
      <c r="G1260" s="6">
        <v>36</v>
      </c>
      <c r="H1260" s="6">
        <v>65</v>
      </c>
      <c r="I1260" s="1">
        <v>24</v>
      </c>
      <c r="J1260" s="116" t="str">
        <f t="shared" si="19"/>
        <v>평일</v>
      </c>
    </row>
    <row r="1261" spans="1:10" ht="21.75" hidden="1" customHeight="1" x14ac:dyDescent="0.25">
      <c r="A1261" s="2">
        <v>2024</v>
      </c>
      <c r="B1261" s="2">
        <v>3</v>
      </c>
      <c r="C1261" s="2" t="s">
        <v>162</v>
      </c>
      <c r="D1261" s="3">
        <v>45370</v>
      </c>
      <c r="E1261" s="7">
        <v>116</v>
      </c>
      <c r="F1261" s="2" t="s">
        <v>15</v>
      </c>
      <c r="G1261" s="6">
        <v>33</v>
      </c>
      <c r="H1261" s="6">
        <v>83</v>
      </c>
      <c r="I1261" s="1">
        <v>25</v>
      </c>
      <c r="J1261" s="116" t="str">
        <f t="shared" si="19"/>
        <v>평일</v>
      </c>
    </row>
    <row r="1262" spans="1:10" ht="21.75" hidden="1" customHeight="1" x14ac:dyDescent="0.25">
      <c r="A1262" s="2">
        <v>2024</v>
      </c>
      <c r="B1262" s="2">
        <v>3</v>
      </c>
      <c r="C1262" s="2" t="s">
        <v>163</v>
      </c>
      <c r="D1262" s="3">
        <v>45371</v>
      </c>
      <c r="E1262" s="7">
        <v>176</v>
      </c>
      <c r="F1262" s="2" t="s">
        <v>15</v>
      </c>
      <c r="G1262" s="6">
        <v>48</v>
      </c>
      <c r="H1262" s="6">
        <v>128</v>
      </c>
      <c r="I1262" s="1">
        <v>26</v>
      </c>
      <c r="J1262" s="116" t="str">
        <f t="shared" si="19"/>
        <v>평일</v>
      </c>
    </row>
    <row r="1263" spans="1:10" ht="21.75" hidden="1" customHeight="1" x14ac:dyDescent="0.25">
      <c r="A1263" s="2">
        <v>2024</v>
      </c>
      <c r="B1263" s="2">
        <v>3</v>
      </c>
      <c r="C1263" s="2" t="s">
        <v>157</v>
      </c>
      <c r="D1263" s="3">
        <v>45372</v>
      </c>
      <c r="E1263" s="7">
        <v>126</v>
      </c>
      <c r="F1263" s="2" t="s">
        <v>15</v>
      </c>
      <c r="G1263" s="6">
        <v>22</v>
      </c>
      <c r="H1263" s="6">
        <v>104</v>
      </c>
      <c r="I1263" s="1">
        <v>27</v>
      </c>
      <c r="J1263" s="116" t="str">
        <f t="shared" si="19"/>
        <v>평일</v>
      </c>
    </row>
    <row r="1264" spans="1:10" ht="21.75" hidden="1" customHeight="1" x14ac:dyDescent="0.25">
      <c r="A1264" s="2">
        <v>2024</v>
      </c>
      <c r="B1264" s="2">
        <v>3</v>
      </c>
      <c r="C1264" s="2" t="s">
        <v>158</v>
      </c>
      <c r="D1264" s="3">
        <v>45373</v>
      </c>
      <c r="E1264" s="7">
        <v>130</v>
      </c>
      <c r="F1264" s="2" t="s">
        <v>15</v>
      </c>
      <c r="G1264" s="6">
        <v>17</v>
      </c>
      <c r="H1264" s="6">
        <v>113</v>
      </c>
      <c r="I1264" s="1">
        <v>28</v>
      </c>
      <c r="J1264" s="116" t="str">
        <f t="shared" si="19"/>
        <v>평일</v>
      </c>
    </row>
    <row r="1265" spans="1:10" ht="21.75" hidden="1" customHeight="1" x14ac:dyDescent="0.25">
      <c r="A1265" s="2">
        <v>2024</v>
      </c>
      <c r="B1265" s="2">
        <v>3</v>
      </c>
      <c r="C1265" s="2" t="s">
        <v>159</v>
      </c>
      <c r="D1265" s="3">
        <v>45374</v>
      </c>
      <c r="E1265" s="7">
        <v>347</v>
      </c>
      <c r="F1265" s="2" t="s">
        <v>15</v>
      </c>
      <c r="G1265" s="6">
        <v>71</v>
      </c>
      <c r="H1265" s="6">
        <v>276</v>
      </c>
      <c r="I1265" s="1">
        <v>29</v>
      </c>
      <c r="J1265" s="116" t="str">
        <f t="shared" si="19"/>
        <v>주말</v>
      </c>
    </row>
    <row r="1266" spans="1:10" ht="21.75" hidden="1" customHeight="1" x14ac:dyDescent="0.25">
      <c r="A1266" s="2">
        <v>2024</v>
      </c>
      <c r="B1266" s="2">
        <v>3</v>
      </c>
      <c r="C1266" s="2" t="s">
        <v>160</v>
      </c>
      <c r="D1266" s="3">
        <v>45375</v>
      </c>
      <c r="E1266" s="7">
        <v>258</v>
      </c>
      <c r="F1266" s="2" t="s">
        <v>15</v>
      </c>
      <c r="G1266" s="6">
        <v>40</v>
      </c>
      <c r="H1266" s="6">
        <v>218</v>
      </c>
      <c r="I1266" s="1">
        <v>30</v>
      </c>
      <c r="J1266" s="116" t="str">
        <f t="shared" si="19"/>
        <v>주말</v>
      </c>
    </row>
    <row r="1267" spans="1:10" ht="21.75" hidden="1" customHeight="1" x14ac:dyDescent="0.25">
      <c r="A1267" s="2">
        <v>2024</v>
      </c>
      <c r="B1267" s="2">
        <v>3</v>
      </c>
      <c r="C1267" s="2" t="s">
        <v>161</v>
      </c>
      <c r="D1267" s="3">
        <v>45376</v>
      </c>
      <c r="E1267" s="7">
        <v>105</v>
      </c>
      <c r="F1267" s="2" t="s">
        <v>15</v>
      </c>
      <c r="G1267" s="6">
        <v>11</v>
      </c>
      <c r="H1267" s="6">
        <v>94</v>
      </c>
      <c r="I1267" s="1">
        <v>31</v>
      </c>
      <c r="J1267" s="116" t="str">
        <f t="shared" si="19"/>
        <v>평일</v>
      </c>
    </row>
    <row r="1268" spans="1:10" ht="21.75" hidden="1" customHeight="1" x14ac:dyDescent="0.25">
      <c r="A1268" s="2">
        <v>2024</v>
      </c>
      <c r="B1268" s="2">
        <v>3</v>
      </c>
      <c r="C1268" s="2" t="s">
        <v>162</v>
      </c>
      <c r="D1268" s="3">
        <v>45377</v>
      </c>
      <c r="E1268" s="7">
        <v>90</v>
      </c>
      <c r="F1268" s="2" t="s">
        <v>15</v>
      </c>
      <c r="G1268" s="6">
        <v>15</v>
      </c>
      <c r="H1268" s="6">
        <v>75</v>
      </c>
      <c r="I1268" s="1">
        <v>32</v>
      </c>
      <c r="J1268" s="116" t="str">
        <f t="shared" si="19"/>
        <v>평일</v>
      </c>
    </row>
    <row r="1269" spans="1:10" ht="21.75" hidden="1" customHeight="1" x14ac:dyDescent="0.25">
      <c r="A1269" s="2">
        <v>2024</v>
      </c>
      <c r="B1269" s="2">
        <v>3</v>
      </c>
      <c r="C1269" s="2" t="s">
        <v>163</v>
      </c>
      <c r="D1269" s="3">
        <v>45378</v>
      </c>
      <c r="E1269" s="7">
        <v>150</v>
      </c>
      <c r="F1269" s="2" t="s">
        <v>15</v>
      </c>
      <c r="G1269" s="6">
        <v>18</v>
      </c>
      <c r="H1269" s="6">
        <v>132</v>
      </c>
      <c r="I1269" s="1">
        <v>33</v>
      </c>
      <c r="J1269" s="116" t="str">
        <f t="shared" si="19"/>
        <v>평일</v>
      </c>
    </row>
    <row r="1270" spans="1:10" ht="21.75" hidden="1" customHeight="1" x14ac:dyDescent="0.25">
      <c r="A1270" s="2">
        <v>2024</v>
      </c>
      <c r="B1270" s="2">
        <v>3</v>
      </c>
      <c r="C1270" s="2" t="s">
        <v>157</v>
      </c>
      <c r="D1270" s="3">
        <v>45379</v>
      </c>
      <c r="E1270" s="7">
        <v>160</v>
      </c>
      <c r="F1270" s="2" t="s">
        <v>15</v>
      </c>
      <c r="G1270" s="6">
        <v>15</v>
      </c>
      <c r="H1270" s="6">
        <v>145</v>
      </c>
      <c r="I1270" s="1">
        <v>34</v>
      </c>
      <c r="J1270" s="116" t="str">
        <f t="shared" si="19"/>
        <v>평일</v>
      </c>
    </row>
    <row r="1271" spans="1:10" ht="21.75" hidden="1" customHeight="1" x14ac:dyDescent="0.25">
      <c r="A1271" s="2">
        <v>2024</v>
      </c>
      <c r="B1271" s="2">
        <v>3</v>
      </c>
      <c r="C1271" s="2" t="s">
        <v>158</v>
      </c>
      <c r="D1271" s="3">
        <v>45380</v>
      </c>
      <c r="E1271" s="7">
        <v>117</v>
      </c>
      <c r="F1271" s="2" t="s">
        <v>15</v>
      </c>
      <c r="G1271" s="6">
        <v>13</v>
      </c>
      <c r="H1271" s="6">
        <v>104</v>
      </c>
      <c r="I1271" s="1">
        <v>35</v>
      </c>
      <c r="J1271" s="116" t="str">
        <f t="shared" si="19"/>
        <v>평일</v>
      </c>
    </row>
    <row r="1272" spans="1:10" ht="21.75" hidden="1" customHeight="1" x14ac:dyDescent="0.25">
      <c r="A1272" s="2">
        <v>2024</v>
      </c>
      <c r="B1272" s="2">
        <v>3</v>
      </c>
      <c r="C1272" s="2" t="s">
        <v>159</v>
      </c>
      <c r="D1272" s="3">
        <v>45381</v>
      </c>
      <c r="E1272" s="7">
        <v>389</v>
      </c>
      <c r="F1272" s="2" t="s">
        <v>15</v>
      </c>
      <c r="G1272" s="6">
        <v>62</v>
      </c>
      <c r="H1272" s="6">
        <v>327</v>
      </c>
      <c r="I1272" s="1">
        <v>36</v>
      </c>
      <c r="J1272" s="116" t="str">
        <f t="shared" si="19"/>
        <v>주말</v>
      </c>
    </row>
    <row r="1273" spans="1:10" ht="21.75" hidden="1" customHeight="1" x14ac:dyDescent="0.25">
      <c r="A1273" s="2">
        <v>2024</v>
      </c>
      <c r="B1273" s="2">
        <v>3</v>
      </c>
      <c r="C1273" s="2" t="s">
        <v>160</v>
      </c>
      <c r="D1273" s="3">
        <v>45382</v>
      </c>
      <c r="E1273" s="7">
        <v>251</v>
      </c>
      <c r="F1273" s="2" t="s">
        <v>15</v>
      </c>
      <c r="G1273" s="6">
        <v>48</v>
      </c>
      <c r="H1273" s="6">
        <v>203</v>
      </c>
      <c r="I1273" s="1">
        <v>37</v>
      </c>
      <c r="J1273" s="116" t="str">
        <f t="shared" si="19"/>
        <v>주말</v>
      </c>
    </row>
    <row r="1274" spans="1:10" ht="21.75" hidden="1" customHeight="1" x14ac:dyDescent="0.25">
      <c r="A1274" s="2">
        <v>2024</v>
      </c>
      <c r="B1274" s="2">
        <v>4</v>
      </c>
      <c r="C1274" s="2" t="s">
        <v>161</v>
      </c>
      <c r="D1274" s="3">
        <v>45383</v>
      </c>
      <c r="E1274" s="7">
        <v>88</v>
      </c>
      <c r="F1274" s="2" t="s">
        <v>15</v>
      </c>
      <c r="G1274" s="6">
        <v>16</v>
      </c>
      <c r="H1274" s="6">
        <v>72</v>
      </c>
      <c r="I1274" s="1">
        <v>38</v>
      </c>
      <c r="J1274" s="116" t="str">
        <f t="shared" si="19"/>
        <v>평일</v>
      </c>
    </row>
    <row r="1275" spans="1:10" ht="21.75" hidden="1" customHeight="1" x14ac:dyDescent="0.25">
      <c r="A1275" s="2">
        <v>2024</v>
      </c>
      <c r="B1275" s="2">
        <v>4</v>
      </c>
      <c r="C1275" s="2" t="s">
        <v>162</v>
      </c>
      <c r="D1275" s="3">
        <v>45384</v>
      </c>
      <c r="E1275" s="7">
        <v>103</v>
      </c>
      <c r="F1275" s="2" t="s">
        <v>15</v>
      </c>
      <c r="G1275" s="6">
        <v>19</v>
      </c>
      <c r="H1275" s="6">
        <v>84</v>
      </c>
      <c r="I1275" s="1">
        <v>39</v>
      </c>
      <c r="J1275" s="116" t="str">
        <f t="shared" si="19"/>
        <v>평일</v>
      </c>
    </row>
    <row r="1276" spans="1:10" ht="21.75" hidden="1" customHeight="1" x14ac:dyDescent="0.25">
      <c r="A1276" s="2">
        <v>2024</v>
      </c>
      <c r="B1276" s="2">
        <v>4</v>
      </c>
      <c r="C1276" s="2" t="s">
        <v>163</v>
      </c>
      <c r="D1276" s="3">
        <v>45385</v>
      </c>
      <c r="E1276" s="7">
        <v>147</v>
      </c>
      <c r="F1276" s="2" t="s">
        <v>15</v>
      </c>
      <c r="G1276" s="6">
        <v>30</v>
      </c>
      <c r="H1276" s="6">
        <v>117</v>
      </c>
      <c r="I1276" s="1">
        <v>40</v>
      </c>
      <c r="J1276" s="116" t="str">
        <f t="shared" si="19"/>
        <v>평일</v>
      </c>
    </row>
    <row r="1277" spans="1:10" ht="21.75" hidden="1" customHeight="1" x14ac:dyDescent="0.25">
      <c r="A1277" s="2">
        <v>2024</v>
      </c>
      <c r="B1277" s="2">
        <v>4</v>
      </c>
      <c r="C1277" s="2" t="s">
        <v>157</v>
      </c>
      <c r="D1277" s="3">
        <v>45386</v>
      </c>
      <c r="E1277" s="7">
        <v>116</v>
      </c>
      <c r="F1277" s="2" t="s">
        <v>15</v>
      </c>
      <c r="G1277" s="6">
        <v>20</v>
      </c>
      <c r="H1277" s="6">
        <v>96</v>
      </c>
      <c r="I1277" s="1">
        <v>41</v>
      </c>
      <c r="J1277" s="116" t="str">
        <f t="shared" si="19"/>
        <v>평일</v>
      </c>
    </row>
    <row r="1278" spans="1:10" ht="21.75" hidden="1" customHeight="1" x14ac:dyDescent="0.25">
      <c r="A1278" s="2">
        <v>2024</v>
      </c>
      <c r="B1278" s="2">
        <v>4</v>
      </c>
      <c r="C1278" s="2" t="s">
        <v>158</v>
      </c>
      <c r="D1278" s="3">
        <v>45387</v>
      </c>
      <c r="E1278" s="7">
        <v>308</v>
      </c>
      <c r="F1278" s="2" t="s">
        <v>15</v>
      </c>
      <c r="G1278" s="6">
        <v>29</v>
      </c>
      <c r="H1278" s="6">
        <v>279</v>
      </c>
      <c r="I1278" s="1">
        <v>42</v>
      </c>
      <c r="J1278" s="116" t="str">
        <f t="shared" si="19"/>
        <v>평일</v>
      </c>
    </row>
    <row r="1279" spans="1:10" ht="21.75" hidden="1" customHeight="1" x14ac:dyDescent="0.25">
      <c r="A1279" s="2">
        <v>2024</v>
      </c>
      <c r="B1279" s="2">
        <v>4</v>
      </c>
      <c r="C1279" s="2" t="s">
        <v>159</v>
      </c>
      <c r="D1279" s="3">
        <v>45388</v>
      </c>
      <c r="E1279" s="7">
        <v>343</v>
      </c>
      <c r="F1279" s="2" t="s">
        <v>15</v>
      </c>
      <c r="G1279" s="6">
        <v>75</v>
      </c>
      <c r="H1279" s="6">
        <v>268</v>
      </c>
      <c r="I1279" s="1">
        <v>43</v>
      </c>
      <c r="J1279" s="116" t="str">
        <f t="shared" si="19"/>
        <v>주말</v>
      </c>
    </row>
    <row r="1280" spans="1:10" ht="21.75" hidden="1" customHeight="1" x14ac:dyDescent="0.25">
      <c r="A1280" s="2">
        <v>2024</v>
      </c>
      <c r="B1280" s="2">
        <v>4</v>
      </c>
      <c r="C1280" s="2" t="s">
        <v>160</v>
      </c>
      <c r="D1280" s="3">
        <v>45389</v>
      </c>
      <c r="E1280" s="7">
        <v>302</v>
      </c>
      <c r="F1280" s="2" t="s">
        <v>15</v>
      </c>
      <c r="G1280" s="6">
        <v>59</v>
      </c>
      <c r="H1280" s="6">
        <v>243</v>
      </c>
      <c r="I1280" s="1">
        <v>44</v>
      </c>
      <c r="J1280" s="116" t="str">
        <f t="shared" si="19"/>
        <v>주말</v>
      </c>
    </row>
    <row r="1281" spans="1:10" ht="21.75" hidden="1" customHeight="1" x14ac:dyDescent="0.25">
      <c r="A1281" s="2">
        <v>2024</v>
      </c>
      <c r="B1281" s="2">
        <v>4</v>
      </c>
      <c r="C1281" s="2" t="s">
        <v>161</v>
      </c>
      <c r="D1281" s="3">
        <v>45390</v>
      </c>
      <c r="E1281" s="7">
        <v>143</v>
      </c>
      <c r="F1281" s="2" t="s">
        <v>15</v>
      </c>
      <c r="G1281" s="6">
        <v>28</v>
      </c>
      <c r="H1281" s="6">
        <v>115</v>
      </c>
      <c r="I1281" s="1">
        <v>45</v>
      </c>
      <c r="J1281" s="116" t="str">
        <f t="shared" si="19"/>
        <v>평일</v>
      </c>
    </row>
    <row r="1282" spans="1:10" ht="21.75" hidden="1" customHeight="1" x14ac:dyDescent="0.25">
      <c r="A1282" s="2">
        <v>2024</v>
      </c>
      <c r="B1282" s="2">
        <v>4</v>
      </c>
      <c r="C1282" s="2" t="s">
        <v>162</v>
      </c>
      <c r="D1282" s="3">
        <v>45391</v>
      </c>
      <c r="E1282" s="7">
        <v>106</v>
      </c>
      <c r="F1282" s="2" t="s">
        <v>15</v>
      </c>
      <c r="G1282" s="6">
        <v>16</v>
      </c>
      <c r="H1282" s="6">
        <v>90</v>
      </c>
      <c r="I1282" s="1">
        <v>46</v>
      </c>
      <c r="J1282" s="116" t="str">
        <f t="shared" si="19"/>
        <v>평일</v>
      </c>
    </row>
    <row r="1283" spans="1:10" ht="21.75" hidden="1" customHeight="1" x14ac:dyDescent="0.25">
      <c r="A1283" s="2">
        <v>2024</v>
      </c>
      <c r="B1283" s="2">
        <v>4</v>
      </c>
      <c r="C1283" s="2" t="s">
        <v>163</v>
      </c>
      <c r="D1283" s="3">
        <v>45392</v>
      </c>
      <c r="E1283" s="7">
        <v>343</v>
      </c>
      <c r="F1283" s="2" t="s">
        <v>15</v>
      </c>
      <c r="G1283" s="6">
        <v>65</v>
      </c>
      <c r="H1283" s="6">
        <v>278</v>
      </c>
      <c r="I1283" s="1">
        <v>47</v>
      </c>
      <c r="J1283" s="116" t="str">
        <f t="shared" ref="J1283:J1328" si="20">+IF(OR(C1283="토",C1283="일"),"주말","평일")</f>
        <v>평일</v>
      </c>
    </row>
    <row r="1284" spans="1:10" ht="21.75" hidden="1" customHeight="1" x14ac:dyDescent="0.25">
      <c r="A1284" s="2">
        <v>2024</v>
      </c>
      <c r="B1284" s="2">
        <v>4</v>
      </c>
      <c r="C1284" s="2" t="s">
        <v>157</v>
      </c>
      <c r="D1284" s="3">
        <v>45393</v>
      </c>
      <c r="E1284" s="7">
        <v>105</v>
      </c>
      <c r="F1284" s="2" t="s">
        <v>15</v>
      </c>
      <c r="G1284" s="6">
        <v>13</v>
      </c>
      <c r="H1284" s="6">
        <v>92</v>
      </c>
      <c r="I1284" s="1">
        <v>48</v>
      </c>
      <c r="J1284" s="116" t="str">
        <f t="shared" si="20"/>
        <v>평일</v>
      </c>
    </row>
    <row r="1285" spans="1:10" ht="21.75" hidden="1" customHeight="1" x14ac:dyDescent="0.25">
      <c r="A1285" s="2">
        <v>2024</v>
      </c>
      <c r="B1285" s="2">
        <v>4</v>
      </c>
      <c r="C1285" s="2" t="s">
        <v>158</v>
      </c>
      <c r="D1285" s="3">
        <v>45394</v>
      </c>
      <c r="E1285" s="7">
        <v>167</v>
      </c>
      <c r="F1285" s="2" t="s">
        <v>15</v>
      </c>
      <c r="G1285" s="6">
        <v>17</v>
      </c>
      <c r="H1285" s="6">
        <v>150</v>
      </c>
      <c r="I1285" s="1">
        <v>49</v>
      </c>
      <c r="J1285" s="116" t="str">
        <f t="shared" si="20"/>
        <v>평일</v>
      </c>
    </row>
    <row r="1286" spans="1:10" ht="21.75" hidden="1" customHeight="1" x14ac:dyDescent="0.25">
      <c r="A1286" s="2">
        <v>2024</v>
      </c>
      <c r="B1286" s="2">
        <v>4</v>
      </c>
      <c r="C1286" s="2" t="s">
        <v>159</v>
      </c>
      <c r="D1286" s="3">
        <v>45395</v>
      </c>
      <c r="E1286" s="7">
        <v>404</v>
      </c>
      <c r="F1286" s="2" t="s">
        <v>15</v>
      </c>
      <c r="G1286" s="6">
        <v>92</v>
      </c>
      <c r="H1286" s="6">
        <v>312</v>
      </c>
      <c r="I1286" s="1">
        <v>50</v>
      </c>
      <c r="J1286" s="116" t="str">
        <f t="shared" si="20"/>
        <v>주말</v>
      </c>
    </row>
    <row r="1287" spans="1:10" ht="21.75" hidden="1" customHeight="1" x14ac:dyDescent="0.25">
      <c r="A1287" s="2">
        <v>2024</v>
      </c>
      <c r="B1287" s="2">
        <v>4</v>
      </c>
      <c r="C1287" s="2" t="s">
        <v>160</v>
      </c>
      <c r="D1287" s="3">
        <v>45396</v>
      </c>
      <c r="E1287" s="7">
        <v>261</v>
      </c>
      <c r="F1287" s="2" t="s">
        <v>15</v>
      </c>
      <c r="G1287" s="6">
        <v>52</v>
      </c>
      <c r="H1287" s="6">
        <v>209</v>
      </c>
      <c r="I1287" s="1">
        <v>51</v>
      </c>
      <c r="J1287" s="116" t="str">
        <f t="shared" si="20"/>
        <v>주말</v>
      </c>
    </row>
    <row r="1288" spans="1:10" ht="21.75" hidden="1" customHeight="1" x14ac:dyDescent="0.25">
      <c r="A1288" s="2">
        <v>2024</v>
      </c>
      <c r="B1288" s="2">
        <v>4</v>
      </c>
      <c r="C1288" s="2" t="s">
        <v>161</v>
      </c>
      <c r="D1288" s="3">
        <v>45397</v>
      </c>
      <c r="E1288" s="7">
        <v>0</v>
      </c>
      <c r="F1288" s="2" t="s">
        <v>15</v>
      </c>
      <c r="G1288" s="6">
        <v>0</v>
      </c>
      <c r="H1288" s="6">
        <v>0</v>
      </c>
      <c r="I1288" s="1">
        <v>52</v>
      </c>
      <c r="J1288" s="116" t="str">
        <f t="shared" si="20"/>
        <v>평일</v>
      </c>
    </row>
    <row r="1289" spans="1:10" ht="21.75" hidden="1" customHeight="1" x14ac:dyDescent="0.25">
      <c r="A1289" s="2">
        <v>2024</v>
      </c>
      <c r="B1289" s="2">
        <v>4</v>
      </c>
      <c r="C1289" s="2" t="s">
        <v>162</v>
      </c>
      <c r="D1289" s="3">
        <v>45398</v>
      </c>
      <c r="E1289" s="7">
        <v>125</v>
      </c>
      <c r="F1289" s="2" t="s">
        <v>15</v>
      </c>
      <c r="G1289" s="6">
        <v>13</v>
      </c>
      <c r="H1289" s="6">
        <v>112</v>
      </c>
      <c r="I1289" s="1">
        <v>53</v>
      </c>
      <c r="J1289" s="116" t="str">
        <f t="shared" si="20"/>
        <v>평일</v>
      </c>
    </row>
    <row r="1290" spans="1:10" ht="21.75" hidden="1" customHeight="1" x14ac:dyDescent="0.25">
      <c r="A1290" s="2">
        <v>2024</v>
      </c>
      <c r="B1290" s="2">
        <v>4</v>
      </c>
      <c r="C1290" s="2" t="s">
        <v>163</v>
      </c>
      <c r="D1290" s="3">
        <v>45399</v>
      </c>
      <c r="E1290" s="7">
        <v>181</v>
      </c>
      <c r="F1290" s="2" t="s">
        <v>15</v>
      </c>
      <c r="G1290" s="6">
        <v>37</v>
      </c>
      <c r="H1290" s="6">
        <v>144</v>
      </c>
      <c r="I1290" s="1">
        <v>54</v>
      </c>
      <c r="J1290" s="116" t="str">
        <f t="shared" si="20"/>
        <v>평일</v>
      </c>
    </row>
    <row r="1291" spans="1:10" ht="21.75" hidden="1" customHeight="1" x14ac:dyDescent="0.25">
      <c r="A1291" s="2">
        <v>2024</v>
      </c>
      <c r="B1291" s="2">
        <v>4</v>
      </c>
      <c r="C1291" s="2" t="s">
        <v>157</v>
      </c>
      <c r="D1291" s="3">
        <v>45400</v>
      </c>
      <c r="E1291" s="7">
        <v>128</v>
      </c>
      <c r="F1291" s="2" t="s">
        <v>15</v>
      </c>
      <c r="G1291" s="6">
        <v>31</v>
      </c>
      <c r="H1291" s="6">
        <v>97</v>
      </c>
      <c r="I1291" s="1">
        <v>55</v>
      </c>
      <c r="J1291" s="116" t="str">
        <f t="shared" si="20"/>
        <v>평일</v>
      </c>
    </row>
    <row r="1292" spans="1:10" ht="21.75" hidden="1" customHeight="1" x14ac:dyDescent="0.25">
      <c r="A1292" s="2">
        <v>2024</v>
      </c>
      <c r="B1292" s="2">
        <v>4</v>
      </c>
      <c r="C1292" s="2" t="s">
        <v>158</v>
      </c>
      <c r="D1292" s="3">
        <v>45401</v>
      </c>
      <c r="E1292" s="7">
        <v>169</v>
      </c>
      <c r="F1292" s="2" t="s">
        <v>15</v>
      </c>
      <c r="G1292" s="6">
        <v>43</v>
      </c>
      <c r="H1292" s="6">
        <v>126</v>
      </c>
      <c r="I1292" s="1">
        <v>56</v>
      </c>
      <c r="J1292" s="116" t="str">
        <f t="shared" si="20"/>
        <v>평일</v>
      </c>
    </row>
    <row r="1293" spans="1:10" ht="21.75" hidden="1" customHeight="1" x14ac:dyDescent="0.25">
      <c r="A1293" s="2">
        <v>2024</v>
      </c>
      <c r="B1293" s="2">
        <v>4</v>
      </c>
      <c r="C1293" s="2" t="s">
        <v>159</v>
      </c>
      <c r="D1293" s="3">
        <v>45402</v>
      </c>
      <c r="E1293" s="7">
        <v>356</v>
      </c>
      <c r="F1293" s="2" t="s">
        <v>15</v>
      </c>
      <c r="G1293" s="6">
        <v>77</v>
      </c>
      <c r="H1293" s="6">
        <v>279</v>
      </c>
      <c r="I1293" s="1">
        <v>57</v>
      </c>
      <c r="J1293" s="116" t="str">
        <f t="shared" si="20"/>
        <v>주말</v>
      </c>
    </row>
    <row r="1294" spans="1:10" ht="21.75" hidden="1" customHeight="1" x14ac:dyDescent="0.25">
      <c r="A1294" s="2">
        <v>2024</v>
      </c>
      <c r="B1294" s="2">
        <v>4</v>
      </c>
      <c r="C1294" s="2" t="s">
        <v>160</v>
      </c>
      <c r="D1294" s="3">
        <v>45403</v>
      </c>
      <c r="E1294" s="7">
        <v>992</v>
      </c>
      <c r="F1294" s="2" t="s">
        <v>15</v>
      </c>
      <c r="G1294" s="6">
        <v>105</v>
      </c>
      <c r="H1294" s="6">
        <v>887</v>
      </c>
      <c r="I1294" s="1">
        <v>58</v>
      </c>
      <c r="J1294" s="116" t="str">
        <f t="shared" si="20"/>
        <v>주말</v>
      </c>
    </row>
    <row r="1295" spans="1:10" ht="21.75" hidden="1" customHeight="1" x14ac:dyDescent="0.25">
      <c r="A1295" s="2">
        <v>2024</v>
      </c>
      <c r="B1295" s="2">
        <v>4</v>
      </c>
      <c r="C1295" s="2" t="s">
        <v>161</v>
      </c>
      <c r="D1295" s="3">
        <v>45404</v>
      </c>
      <c r="E1295" s="7">
        <v>71</v>
      </c>
      <c r="F1295" s="2" t="s">
        <v>15</v>
      </c>
      <c r="G1295" s="6">
        <v>12</v>
      </c>
      <c r="H1295" s="6">
        <v>59</v>
      </c>
      <c r="I1295" s="1">
        <v>59</v>
      </c>
      <c r="J1295" s="116" t="str">
        <f t="shared" si="20"/>
        <v>평일</v>
      </c>
    </row>
    <row r="1296" spans="1:10" ht="21.75" hidden="1" customHeight="1" x14ac:dyDescent="0.25">
      <c r="A1296" s="2">
        <v>2024</v>
      </c>
      <c r="B1296" s="2">
        <v>4</v>
      </c>
      <c r="C1296" s="2" t="s">
        <v>162</v>
      </c>
      <c r="D1296" s="3">
        <v>45405</v>
      </c>
      <c r="E1296" s="7">
        <v>135</v>
      </c>
      <c r="F1296" s="2" t="s">
        <v>15</v>
      </c>
      <c r="G1296" s="6">
        <v>28</v>
      </c>
      <c r="H1296" s="6">
        <v>107</v>
      </c>
      <c r="I1296" s="1">
        <v>60</v>
      </c>
      <c r="J1296" s="116" t="str">
        <f t="shared" si="20"/>
        <v>평일</v>
      </c>
    </row>
    <row r="1297" spans="1:10" ht="21.75" hidden="1" customHeight="1" x14ac:dyDescent="0.25">
      <c r="A1297" s="2">
        <v>2024</v>
      </c>
      <c r="B1297" s="2">
        <v>4</v>
      </c>
      <c r="C1297" s="2" t="s">
        <v>163</v>
      </c>
      <c r="D1297" s="3">
        <v>45406</v>
      </c>
      <c r="E1297" s="7">
        <v>151</v>
      </c>
      <c r="F1297" s="2" t="s">
        <v>15</v>
      </c>
      <c r="G1297" s="6">
        <v>22</v>
      </c>
      <c r="H1297" s="6">
        <v>129</v>
      </c>
      <c r="I1297" s="1">
        <v>61</v>
      </c>
      <c r="J1297" s="116" t="str">
        <f t="shared" si="20"/>
        <v>평일</v>
      </c>
    </row>
    <row r="1298" spans="1:10" ht="21.75" hidden="1" customHeight="1" x14ac:dyDescent="0.25">
      <c r="A1298" s="2">
        <v>2024</v>
      </c>
      <c r="B1298" s="2">
        <v>4</v>
      </c>
      <c r="C1298" s="2" t="s">
        <v>157</v>
      </c>
      <c r="D1298" s="3">
        <v>45407</v>
      </c>
      <c r="E1298" s="7">
        <v>134</v>
      </c>
      <c r="F1298" s="2" t="s">
        <v>15</v>
      </c>
      <c r="G1298" s="6">
        <v>38</v>
      </c>
      <c r="H1298" s="6">
        <v>96</v>
      </c>
      <c r="I1298" s="1">
        <v>62</v>
      </c>
      <c r="J1298" s="116" t="str">
        <f t="shared" si="20"/>
        <v>평일</v>
      </c>
    </row>
    <row r="1299" spans="1:10" ht="21.75" hidden="1" customHeight="1" x14ac:dyDescent="0.25">
      <c r="A1299" s="2">
        <v>2024</v>
      </c>
      <c r="B1299" s="2">
        <v>4</v>
      </c>
      <c r="C1299" s="2" t="s">
        <v>158</v>
      </c>
      <c r="D1299" s="3">
        <v>45408</v>
      </c>
      <c r="E1299" s="7">
        <v>255</v>
      </c>
      <c r="F1299" s="2" t="s">
        <v>15</v>
      </c>
      <c r="G1299" s="6">
        <v>35</v>
      </c>
      <c r="H1299" s="6">
        <v>220</v>
      </c>
      <c r="I1299" s="1">
        <v>63</v>
      </c>
      <c r="J1299" s="116" t="str">
        <f t="shared" si="20"/>
        <v>평일</v>
      </c>
    </row>
    <row r="1300" spans="1:10" ht="21.75" hidden="1" customHeight="1" x14ac:dyDescent="0.25">
      <c r="A1300" s="2">
        <v>2024</v>
      </c>
      <c r="B1300" s="2">
        <v>4</v>
      </c>
      <c r="C1300" s="2" t="s">
        <v>159</v>
      </c>
      <c r="D1300" s="3">
        <v>45409</v>
      </c>
      <c r="E1300" s="7">
        <v>427</v>
      </c>
      <c r="F1300" s="2" t="s">
        <v>15</v>
      </c>
      <c r="G1300" s="6">
        <v>97</v>
      </c>
      <c r="H1300" s="6">
        <v>330</v>
      </c>
      <c r="I1300" s="1">
        <v>64</v>
      </c>
      <c r="J1300" s="116" t="str">
        <f t="shared" si="20"/>
        <v>주말</v>
      </c>
    </row>
    <row r="1301" spans="1:10" ht="21.75" hidden="1" customHeight="1" x14ac:dyDescent="0.25">
      <c r="A1301" s="2">
        <v>2024</v>
      </c>
      <c r="B1301" s="2">
        <v>4</v>
      </c>
      <c r="C1301" s="2" t="s">
        <v>160</v>
      </c>
      <c r="D1301" s="3">
        <v>45410</v>
      </c>
      <c r="E1301" s="7">
        <v>312</v>
      </c>
      <c r="F1301" s="2" t="s">
        <v>15</v>
      </c>
      <c r="G1301" s="364">
        <v>93</v>
      </c>
      <c r="H1301" s="364">
        <v>219</v>
      </c>
      <c r="I1301" s="1">
        <v>65</v>
      </c>
      <c r="J1301" s="116" t="str">
        <f t="shared" si="20"/>
        <v>주말</v>
      </c>
    </row>
    <row r="1302" spans="1:10" ht="21.75" hidden="1" customHeight="1" x14ac:dyDescent="0.25">
      <c r="A1302" s="2">
        <v>2024</v>
      </c>
      <c r="B1302" s="2">
        <v>4</v>
      </c>
      <c r="C1302" s="2" t="s">
        <v>161</v>
      </c>
      <c r="D1302" s="3">
        <v>45411</v>
      </c>
      <c r="E1302" s="7">
        <v>134</v>
      </c>
      <c r="F1302" s="2" t="s">
        <v>15</v>
      </c>
      <c r="G1302" s="6">
        <v>23</v>
      </c>
      <c r="H1302" s="6">
        <v>111</v>
      </c>
      <c r="I1302" s="1">
        <v>66</v>
      </c>
      <c r="J1302" s="116" t="str">
        <f t="shared" si="20"/>
        <v>평일</v>
      </c>
    </row>
    <row r="1303" spans="1:10" ht="21.75" hidden="1" customHeight="1" x14ac:dyDescent="0.25">
      <c r="A1303" s="2">
        <v>2024</v>
      </c>
      <c r="B1303" s="2">
        <v>4</v>
      </c>
      <c r="C1303" s="2" t="s">
        <v>162</v>
      </c>
      <c r="D1303" s="3">
        <v>45412</v>
      </c>
      <c r="E1303" s="7">
        <v>159</v>
      </c>
      <c r="F1303" s="2" t="s">
        <v>15</v>
      </c>
      <c r="G1303" s="6">
        <v>35</v>
      </c>
      <c r="H1303" s="6">
        <v>124</v>
      </c>
      <c r="I1303" s="1">
        <v>67</v>
      </c>
      <c r="J1303" s="116" t="str">
        <f t="shared" si="20"/>
        <v>평일</v>
      </c>
    </row>
    <row r="1304" spans="1:10" ht="21.75" hidden="1" customHeight="1" x14ac:dyDescent="0.25">
      <c r="A1304" s="2">
        <v>2024</v>
      </c>
      <c r="B1304" s="2">
        <v>5</v>
      </c>
      <c r="C1304" s="2" t="s">
        <v>163</v>
      </c>
      <c r="D1304" s="3">
        <v>45413</v>
      </c>
      <c r="E1304" s="7">
        <v>681</v>
      </c>
      <c r="F1304" s="2" t="s">
        <v>15</v>
      </c>
      <c r="G1304" s="6">
        <v>90</v>
      </c>
      <c r="H1304" s="6">
        <v>591</v>
      </c>
      <c r="I1304" s="1">
        <v>68</v>
      </c>
      <c r="J1304" s="116" t="str">
        <f t="shared" si="20"/>
        <v>평일</v>
      </c>
    </row>
    <row r="1305" spans="1:10" ht="21.75" hidden="1" customHeight="1" x14ac:dyDescent="0.25">
      <c r="A1305" s="2">
        <v>2024</v>
      </c>
      <c r="B1305" s="2">
        <v>5</v>
      </c>
      <c r="C1305" s="2" t="s">
        <v>157</v>
      </c>
      <c r="D1305" s="3">
        <v>45414</v>
      </c>
      <c r="E1305" s="7">
        <v>129</v>
      </c>
      <c r="F1305" s="2" t="s">
        <v>15</v>
      </c>
      <c r="G1305" s="6">
        <v>43</v>
      </c>
      <c r="H1305" s="6">
        <v>86</v>
      </c>
      <c r="I1305" s="1">
        <v>69</v>
      </c>
      <c r="J1305" s="116" t="str">
        <f t="shared" si="20"/>
        <v>평일</v>
      </c>
    </row>
    <row r="1306" spans="1:10" ht="21.75" hidden="1" customHeight="1" x14ac:dyDescent="0.25">
      <c r="A1306" s="2">
        <v>2024</v>
      </c>
      <c r="B1306" s="2">
        <v>5</v>
      </c>
      <c r="C1306" s="2" t="s">
        <v>158</v>
      </c>
      <c r="D1306" s="3">
        <v>45415</v>
      </c>
      <c r="E1306" s="7">
        <v>144</v>
      </c>
      <c r="F1306" s="2" t="s">
        <v>15</v>
      </c>
      <c r="G1306" s="6">
        <v>36</v>
      </c>
      <c r="H1306" s="6">
        <v>108</v>
      </c>
      <c r="I1306" s="1">
        <v>70</v>
      </c>
      <c r="J1306" s="116" t="str">
        <f t="shared" si="20"/>
        <v>평일</v>
      </c>
    </row>
    <row r="1307" spans="1:10" ht="21.75" hidden="1" customHeight="1" x14ac:dyDescent="0.25">
      <c r="A1307" s="2">
        <v>2024</v>
      </c>
      <c r="B1307" s="2">
        <v>5</v>
      </c>
      <c r="C1307" s="2" t="s">
        <v>159</v>
      </c>
      <c r="D1307" s="3">
        <v>45416</v>
      </c>
      <c r="E1307" s="7">
        <v>403</v>
      </c>
      <c r="F1307" s="2" t="s">
        <v>15</v>
      </c>
      <c r="G1307" s="6">
        <v>88</v>
      </c>
      <c r="H1307" s="6">
        <v>315</v>
      </c>
      <c r="I1307" s="1">
        <v>71</v>
      </c>
      <c r="J1307" s="116" t="str">
        <f t="shared" si="20"/>
        <v>주말</v>
      </c>
    </row>
    <row r="1308" spans="1:10" ht="21.75" hidden="1" customHeight="1" x14ac:dyDescent="0.25">
      <c r="A1308" s="2">
        <v>2024</v>
      </c>
      <c r="B1308" s="2">
        <v>5</v>
      </c>
      <c r="C1308" s="2" t="s">
        <v>160</v>
      </c>
      <c r="D1308" s="3">
        <v>45417</v>
      </c>
      <c r="E1308" s="7">
        <v>487</v>
      </c>
      <c r="F1308" s="2" t="s">
        <v>15</v>
      </c>
      <c r="G1308" s="6">
        <v>128</v>
      </c>
      <c r="H1308" s="6">
        <v>359</v>
      </c>
      <c r="I1308" s="1">
        <v>72</v>
      </c>
      <c r="J1308" s="116" t="str">
        <f t="shared" si="20"/>
        <v>주말</v>
      </c>
    </row>
    <row r="1309" spans="1:10" ht="21.75" hidden="1" customHeight="1" x14ac:dyDescent="0.25">
      <c r="A1309" s="2">
        <v>2024</v>
      </c>
      <c r="B1309" s="2">
        <v>5</v>
      </c>
      <c r="C1309" s="2" t="s">
        <v>161</v>
      </c>
      <c r="D1309" s="3">
        <v>45418</v>
      </c>
      <c r="E1309" s="7">
        <v>456</v>
      </c>
      <c r="F1309" s="2" t="s">
        <v>15</v>
      </c>
      <c r="G1309" s="6">
        <v>83</v>
      </c>
      <c r="H1309" s="6">
        <v>372</v>
      </c>
      <c r="I1309" s="1">
        <v>73</v>
      </c>
      <c r="J1309" s="116" t="str">
        <f t="shared" si="20"/>
        <v>평일</v>
      </c>
    </row>
    <row r="1310" spans="1:10" ht="21.75" hidden="1" customHeight="1" x14ac:dyDescent="0.25">
      <c r="A1310" s="2">
        <v>2024</v>
      </c>
      <c r="B1310" s="2">
        <v>5</v>
      </c>
      <c r="C1310" s="2" t="s">
        <v>162</v>
      </c>
      <c r="D1310" s="3">
        <v>45419</v>
      </c>
      <c r="E1310" s="7">
        <v>113</v>
      </c>
      <c r="F1310" s="2" t="s">
        <v>15</v>
      </c>
      <c r="G1310" s="6">
        <v>42</v>
      </c>
      <c r="H1310" s="6">
        <v>71</v>
      </c>
      <c r="I1310" s="1">
        <v>74</v>
      </c>
      <c r="J1310" s="116" t="str">
        <f t="shared" si="20"/>
        <v>평일</v>
      </c>
    </row>
    <row r="1311" spans="1:10" ht="21.75" hidden="1" customHeight="1" x14ac:dyDescent="0.25">
      <c r="A1311" s="2">
        <v>2024</v>
      </c>
      <c r="B1311" s="2">
        <v>5</v>
      </c>
      <c r="C1311" s="2" t="s">
        <v>163</v>
      </c>
      <c r="D1311" s="3">
        <v>45420</v>
      </c>
      <c r="E1311" s="7">
        <v>98</v>
      </c>
      <c r="F1311" s="2" t="s">
        <v>15</v>
      </c>
      <c r="G1311" s="6">
        <v>22</v>
      </c>
      <c r="H1311" s="6">
        <v>76</v>
      </c>
      <c r="I1311" s="1">
        <v>75</v>
      </c>
      <c r="J1311" s="116" t="str">
        <f t="shared" si="20"/>
        <v>평일</v>
      </c>
    </row>
    <row r="1312" spans="1:10" ht="21.75" hidden="1" customHeight="1" x14ac:dyDescent="0.25">
      <c r="A1312" s="2">
        <v>2024</v>
      </c>
      <c r="B1312" s="2">
        <v>5</v>
      </c>
      <c r="C1312" s="2" t="s">
        <v>157</v>
      </c>
      <c r="D1312" s="3">
        <v>45421</v>
      </c>
      <c r="E1312" s="7">
        <v>125</v>
      </c>
      <c r="F1312" s="2" t="s">
        <v>15</v>
      </c>
      <c r="G1312" s="6">
        <v>37</v>
      </c>
      <c r="H1312" s="6">
        <v>88</v>
      </c>
      <c r="I1312" s="1">
        <v>76</v>
      </c>
      <c r="J1312" s="116" t="str">
        <f t="shared" si="20"/>
        <v>평일</v>
      </c>
    </row>
    <row r="1313" spans="1:10" ht="21.75" hidden="1" customHeight="1" x14ac:dyDescent="0.25">
      <c r="A1313" s="2">
        <v>2024</v>
      </c>
      <c r="B1313" s="2">
        <v>5</v>
      </c>
      <c r="C1313" s="2" t="s">
        <v>158</v>
      </c>
      <c r="D1313" s="3">
        <v>45422</v>
      </c>
      <c r="E1313" s="7">
        <v>226</v>
      </c>
      <c r="F1313" s="2" t="s">
        <v>15</v>
      </c>
      <c r="G1313" s="6">
        <v>49</v>
      </c>
      <c r="H1313" s="6">
        <v>177</v>
      </c>
      <c r="I1313" s="1">
        <v>77</v>
      </c>
      <c r="J1313" s="116" t="str">
        <f t="shared" si="20"/>
        <v>평일</v>
      </c>
    </row>
    <row r="1314" spans="1:10" ht="21.75" hidden="1" customHeight="1" x14ac:dyDescent="0.25">
      <c r="A1314" s="2">
        <v>2024</v>
      </c>
      <c r="B1314" s="2">
        <v>5</v>
      </c>
      <c r="C1314" s="2" t="s">
        <v>159</v>
      </c>
      <c r="D1314" s="3">
        <v>45423</v>
      </c>
      <c r="E1314" s="7">
        <v>603</v>
      </c>
      <c r="F1314" s="2" t="s">
        <v>15</v>
      </c>
      <c r="G1314" s="6">
        <v>171</v>
      </c>
      <c r="H1314" s="6">
        <v>432</v>
      </c>
      <c r="I1314" s="1">
        <v>78</v>
      </c>
      <c r="J1314" s="116" t="str">
        <f t="shared" si="20"/>
        <v>주말</v>
      </c>
    </row>
    <row r="1315" spans="1:10" ht="21.75" hidden="1" customHeight="1" x14ac:dyDescent="0.25">
      <c r="A1315" s="2">
        <v>2024</v>
      </c>
      <c r="B1315" s="2">
        <v>5</v>
      </c>
      <c r="C1315" s="2" t="s">
        <v>160</v>
      </c>
      <c r="D1315" s="3">
        <v>45424</v>
      </c>
      <c r="E1315" s="7">
        <v>592</v>
      </c>
      <c r="F1315" s="2" t="s">
        <v>15</v>
      </c>
      <c r="G1315" s="6">
        <v>158</v>
      </c>
      <c r="H1315" s="6">
        <v>430</v>
      </c>
      <c r="I1315" s="1">
        <v>79</v>
      </c>
      <c r="J1315" s="116" t="str">
        <f t="shared" si="20"/>
        <v>주말</v>
      </c>
    </row>
    <row r="1316" spans="1:10" ht="21.75" hidden="1" customHeight="1" x14ac:dyDescent="0.25">
      <c r="A1316" s="2">
        <v>2024</v>
      </c>
      <c r="B1316" s="2">
        <v>5</v>
      </c>
      <c r="C1316" s="2" t="s">
        <v>161</v>
      </c>
      <c r="D1316" s="3">
        <v>45425</v>
      </c>
      <c r="E1316" s="7">
        <v>147</v>
      </c>
      <c r="F1316" s="2" t="s">
        <v>15</v>
      </c>
      <c r="G1316" s="6">
        <v>55</v>
      </c>
      <c r="H1316" s="6">
        <v>92</v>
      </c>
      <c r="I1316" s="1">
        <v>80</v>
      </c>
      <c r="J1316" s="116" t="str">
        <f t="shared" si="20"/>
        <v>평일</v>
      </c>
    </row>
    <row r="1317" spans="1:10" ht="21.75" hidden="1" customHeight="1" x14ac:dyDescent="0.25">
      <c r="A1317" s="2">
        <v>2024</v>
      </c>
      <c r="B1317" s="2">
        <v>5</v>
      </c>
      <c r="C1317" s="2" t="s">
        <v>162</v>
      </c>
      <c r="D1317" s="3">
        <v>45426</v>
      </c>
      <c r="E1317" s="7">
        <v>174</v>
      </c>
      <c r="F1317" s="2" t="s">
        <v>15</v>
      </c>
      <c r="G1317" s="6">
        <v>43</v>
      </c>
      <c r="H1317" s="6">
        <v>132</v>
      </c>
      <c r="I1317" s="1">
        <v>81</v>
      </c>
      <c r="J1317" s="116" t="str">
        <f t="shared" si="20"/>
        <v>평일</v>
      </c>
    </row>
    <row r="1318" spans="1:10" ht="21.75" hidden="1" customHeight="1" x14ac:dyDescent="0.25">
      <c r="A1318" s="2">
        <v>2024</v>
      </c>
      <c r="B1318" s="2">
        <v>5</v>
      </c>
      <c r="C1318" s="2" t="s">
        <v>163</v>
      </c>
      <c r="D1318" s="3">
        <v>45427</v>
      </c>
      <c r="E1318" s="7">
        <v>762</v>
      </c>
      <c r="F1318" s="2" t="s">
        <v>15</v>
      </c>
      <c r="G1318" s="6">
        <v>195</v>
      </c>
      <c r="H1318" s="6">
        <v>567</v>
      </c>
      <c r="I1318" s="1">
        <v>82</v>
      </c>
      <c r="J1318" s="116" t="str">
        <f t="shared" si="20"/>
        <v>평일</v>
      </c>
    </row>
    <row r="1319" spans="1:10" ht="21.75" hidden="1" customHeight="1" x14ac:dyDescent="0.25">
      <c r="A1319" s="2">
        <v>2024</v>
      </c>
      <c r="B1319" s="2">
        <v>5</v>
      </c>
      <c r="C1319" s="2" t="s">
        <v>157</v>
      </c>
      <c r="D1319" s="3">
        <v>45428</v>
      </c>
      <c r="E1319" s="7">
        <v>219</v>
      </c>
      <c r="F1319" s="7" t="s">
        <v>15</v>
      </c>
      <c r="G1319" s="6">
        <v>49</v>
      </c>
      <c r="H1319" s="6">
        <v>190</v>
      </c>
      <c r="I1319" s="1">
        <v>83</v>
      </c>
      <c r="J1319" s="116" t="str">
        <f t="shared" si="20"/>
        <v>평일</v>
      </c>
    </row>
    <row r="1320" spans="1:10" ht="21.75" hidden="1" customHeight="1" x14ac:dyDescent="0.25">
      <c r="A1320" s="2">
        <v>2024</v>
      </c>
      <c r="B1320" s="2">
        <v>5</v>
      </c>
      <c r="C1320" s="2" t="s">
        <v>158</v>
      </c>
      <c r="D1320" s="3">
        <v>45429</v>
      </c>
      <c r="E1320" s="7">
        <v>251</v>
      </c>
      <c r="F1320" s="2" t="s">
        <v>15</v>
      </c>
      <c r="G1320" s="6">
        <v>56</v>
      </c>
      <c r="H1320" s="6">
        <v>195</v>
      </c>
      <c r="I1320" s="1">
        <v>84</v>
      </c>
      <c r="J1320" s="116" t="str">
        <f t="shared" si="20"/>
        <v>평일</v>
      </c>
    </row>
    <row r="1321" spans="1:10" ht="21.75" hidden="1" customHeight="1" x14ac:dyDescent="0.25">
      <c r="A1321" s="2">
        <v>2024</v>
      </c>
      <c r="B1321" s="2">
        <v>5</v>
      </c>
      <c r="C1321" s="2" t="s">
        <v>159</v>
      </c>
      <c r="D1321" s="3">
        <v>45430</v>
      </c>
      <c r="E1321" s="7">
        <v>793</v>
      </c>
      <c r="F1321" s="7" t="s">
        <v>15</v>
      </c>
      <c r="G1321" s="6">
        <v>229</v>
      </c>
      <c r="H1321" s="6">
        <v>564</v>
      </c>
      <c r="I1321" s="1">
        <v>85</v>
      </c>
      <c r="J1321" s="116" t="str">
        <f t="shared" si="20"/>
        <v>주말</v>
      </c>
    </row>
    <row r="1322" spans="1:10" ht="21.75" hidden="1" customHeight="1" x14ac:dyDescent="0.25">
      <c r="A1322" s="2">
        <v>2024</v>
      </c>
      <c r="B1322" s="2">
        <v>5</v>
      </c>
      <c r="C1322" s="2" t="s">
        <v>160</v>
      </c>
      <c r="D1322" s="3">
        <v>45431</v>
      </c>
      <c r="E1322" s="7">
        <v>757</v>
      </c>
      <c r="F1322" s="2" t="s">
        <v>15</v>
      </c>
      <c r="G1322" s="6">
        <v>178</v>
      </c>
      <c r="H1322" s="6">
        <v>579</v>
      </c>
      <c r="I1322" s="1">
        <v>86</v>
      </c>
      <c r="J1322" s="116" t="str">
        <f t="shared" si="20"/>
        <v>주말</v>
      </c>
    </row>
    <row r="1323" spans="1:10" ht="21.75" hidden="1" customHeight="1" x14ac:dyDescent="0.25">
      <c r="A1323" s="2">
        <v>2024</v>
      </c>
      <c r="B1323" s="2">
        <v>5</v>
      </c>
      <c r="C1323" s="2" t="s">
        <v>161</v>
      </c>
      <c r="D1323" s="3">
        <v>45432</v>
      </c>
      <c r="E1323" s="7">
        <v>0</v>
      </c>
      <c r="F1323" s="2" t="s">
        <v>15</v>
      </c>
      <c r="G1323" s="6">
        <v>0</v>
      </c>
      <c r="H1323" s="6">
        <v>0</v>
      </c>
      <c r="I1323" s="1">
        <v>87</v>
      </c>
      <c r="J1323" s="116" t="str">
        <f t="shared" si="20"/>
        <v>평일</v>
      </c>
    </row>
    <row r="1324" spans="1:10" ht="21.75" hidden="1" customHeight="1" x14ac:dyDescent="0.25">
      <c r="A1324" s="2">
        <v>2024</v>
      </c>
      <c r="B1324" s="2">
        <v>5</v>
      </c>
      <c r="C1324" s="2" t="s">
        <v>162</v>
      </c>
      <c r="D1324" s="3">
        <v>45433</v>
      </c>
      <c r="E1324" s="7">
        <v>243</v>
      </c>
      <c r="F1324" s="2" t="s">
        <v>15</v>
      </c>
      <c r="G1324" s="6">
        <v>88</v>
      </c>
      <c r="H1324" s="6">
        <v>155</v>
      </c>
      <c r="I1324" s="1">
        <v>88</v>
      </c>
      <c r="J1324" s="116" t="str">
        <f t="shared" si="20"/>
        <v>평일</v>
      </c>
    </row>
    <row r="1325" spans="1:10" ht="21.75" hidden="1" customHeight="1" x14ac:dyDescent="0.25">
      <c r="A1325" s="2">
        <v>2024</v>
      </c>
      <c r="B1325" s="2">
        <v>5</v>
      </c>
      <c r="C1325" s="2" t="s">
        <v>163</v>
      </c>
      <c r="D1325" s="3">
        <v>45434</v>
      </c>
      <c r="E1325" s="7">
        <v>337</v>
      </c>
      <c r="F1325" s="2" t="s">
        <v>15</v>
      </c>
      <c r="G1325" s="6">
        <v>101</v>
      </c>
      <c r="H1325" s="6">
        <v>217</v>
      </c>
      <c r="I1325" s="1">
        <v>89</v>
      </c>
      <c r="J1325" s="116" t="str">
        <f t="shared" si="20"/>
        <v>평일</v>
      </c>
    </row>
    <row r="1326" spans="1:10" ht="21.75" hidden="1" customHeight="1" x14ac:dyDescent="0.25">
      <c r="A1326" s="2">
        <v>2024</v>
      </c>
      <c r="B1326" s="2">
        <v>5</v>
      </c>
      <c r="C1326" s="2" t="s">
        <v>157</v>
      </c>
      <c r="D1326" s="3">
        <v>45435</v>
      </c>
      <c r="E1326" s="7">
        <v>309</v>
      </c>
      <c r="F1326" s="2" t="s">
        <v>15</v>
      </c>
      <c r="G1326" s="6">
        <v>309</v>
      </c>
      <c r="H1326" s="6">
        <v>309</v>
      </c>
      <c r="I1326" s="1">
        <v>90</v>
      </c>
      <c r="J1326" s="116" t="str">
        <f t="shared" si="20"/>
        <v>평일</v>
      </c>
    </row>
    <row r="1327" spans="1:10" ht="21.75" hidden="1" customHeight="1" x14ac:dyDescent="0.25">
      <c r="A1327" s="2">
        <v>2024</v>
      </c>
      <c r="B1327" s="2">
        <v>5</v>
      </c>
      <c r="C1327" s="2" t="s">
        <v>158</v>
      </c>
      <c r="D1327" s="3">
        <v>45436</v>
      </c>
      <c r="E1327" s="7">
        <v>467</v>
      </c>
      <c r="F1327" s="2" t="s">
        <v>15</v>
      </c>
      <c r="G1327" s="6">
        <v>164</v>
      </c>
      <c r="H1327" s="6">
        <v>303</v>
      </c>
      <c r="I1327" s="1">
        <v>91</v>
      </c>
      <c r="J1327" s="116" t="str">
        <f t="shared" si="20"/>
        <v>평일</v>
      </c>
    </row>
    <row r="1328" spans="1:10" ht="21.75" hidden="1" customHeight="1" x14ac:dyDescent="0.25">
      <c r="A1328" s="2">
        <v>2024</v>
      </c>
      <c r="B1328" s="2">
        <v>5</v>
      </c>
      <c r="C1328" s="2" t="s">
        <v>159</v>
      </c>
      <c r="D1328" s="3">
        <v>45437</v>
      </c>
      <c r="E1328" s="7">
        <v>1178</v>
      </c>
      <c r="F1328" s="2" t="s">
        <v>15</v>
      </c>
      <c r="G1328" s="6">
        <v>390</v>
      </c>
      <c r="H1328" s="6">
        <v>788</v>
      </c>
      <c r="I1328" s="1">
        <v>92</v>
      </c>
      <c r="J1328" s="116" t="str">
        <f t="shared" si="20"/>
        <v>주말</v>
      </c>
    </row>
    <row r="1329" spans="1:10" ht="21.75" hidden="1" customHeight="1" x14ac:dyDescent="0.25">
      <c r="A1329" s="2">
        <v>2024</v>
      </c>
      <c r="B1329" s="2">
        <v>5</v>
      </c>
      <c r="C1329" s="2" t="s">
        <v>160</v>
      </c>
      <c r="D1329" s="3">
        <v>45438</v>
      </c>
      <c r="E1329" s="7">
        <v>3956</v>
      </c>
      <c r="F1329" s="2" t="s">
        <v>15</v>
      </c>
      <c r="G1329" s="6">
        <v>491</v>
      </c>
      <c r="H1329" s="6">
        <v>3465</v>
      </c>
      <c r="I1329" s="1">
        <v>93</v>
      </c>
      <c r="J1329" s="116" t="s">
        <v>164</v>
      </c>
    </row>
    <row r="1330" spans="1:10" ht="21.75" hidden="1" customHeight="1" x14ac:dyDescent="0.25">
      <c r="A1330" s="2">
        <v>2024</v>
      </c>
      <c r="B1330" s="2">
        <v>5</v>
      </c>
      <c r="C1330" s="2" t="s">
        <v>161</v>
      </c>
      <c r="D1330" s="3">
        <v>45439</v>
      </c>
      <c r="E1330" s="7">
        <v>0</v>
      </c>
      <c r="F1330" s="2">
        <v>0</v>
      </c>
      <c r="G1330" s="6">
        <v>0</v>
      </c>
      <c r="H1330" s="6">
        <v>0</v>
      </c>
      <c r="I1330" s="1">
        <v>370</v>
      </c>
      <c r="J1330" s="116" t="s">
        <v>165</v>
      </c>
    </row>
    <row r="1331" spans="1:10" ht="21.75" hidden="1" customHeight="1" x14ac:dyDescent="0.25">
      <c r="A1331" s="2">
        <v>2024</v>
      </c>
      <c r="B1331" s="2">
        <v>5</v>
      </c>
      <c r="C1331" s="2" t="s">
        <v>162</v>
      </c>
      <c r="D1331" s="3">
        <v>45440</v>
      </c>
      <c r="E1331" s="7">
        <v>0</v>
      </c>
      <c r="F1331" s="2">
        <v>0</v>
      </c>
      <c r="G1331" s="6">
        <v>0</v>
      </c>
      <c r="H1331" s="6">
        <v>0</v>
      </c>
      <c r="I1331" s="1">
        <v>371</v>
      </c>
      <c r="J1331" s="116" t="s">
        <v>165</v>
      </c>
    </row>
    <row r="1332" spans="1:10" ht="21.75" hidden="1" customHeight="1" x14ac:dyDescent="0.25">
      <c r="A1332" s="2">
        <v>2024</v>
      </c>
      <c r="B1332" s="2">
        <v>5</v>
      </c>
      <c r="C1332" s="2" t="s">
        <v>163</v>
      </c>
      <c r="D1332" s="3">
        <v>45441</v>
      </c>
      <c r="E1332" s="7">
        <v>0</v>
      </c>
      <c r="F1332" s="2">
        <v>0</v>
      </c>
      <c r="G1332" s="6">
        <v>0</v>
      </c>
      <c r="H1332" s="6">
        <v>0</v>
      </c>
      <c r="I1332" s="1">
        <v>372</v>
      </c>
      <c r="J1332" s="116" t="s">
        <v>165</v>
      </c>
    </row>
    <row r="1333" spans="1:10" ht="21.75" hidden="1" customHeight="1" x14ac:dyDescent="0.25">
      <c r="A1333" s="2">
        <v>2024</v>
      </c>
      <c r="B1333" s="2">
        <v>5</v>
      </c>
      <c r="C1333" s="2" t="s">
        <v>157</v>
      </c>
      <c r="D1333" s="3">
        <v>45442</v>
      </c>
      <c r="E1333" s="7">
        <v>0</v>
      </c>
      <c r="F1333" s="2">
        <v>0</v>
      </c>
      <c r="G1333" s="6">
        <v>0</v>
      </c>
      <c r="H1333" s="6">
        <v>0</v>
      </c>
      <c r="I1333" s="1">
        <v>373</v>
      </c>
      <c r="J1333" s="116" t="s">
        <v>165</v>
      </c>
    </row>
    <row r="1334" spans="1:10" ht="21.75" hidden="1" customHeight="1" x14ac:dyDescent="0.25">
      <c r="A1334" s="2">
        <v>2024</v>
      </c>
      <c r="B1334" s="2">
        <v>5</v>
      </c>
      <c r="C1334" s="2" t="s">
        <v>158</v>
      </c>
      <c r="D1334" s="3">
        <v>45443</v>
      </c>
      <c r="E1334" s="7">
        <v>0</v>
      </c>
      <c r="F1334" s="2">
        <v>0</v>
      </c>
      <c r="G1334" s="6">
        <v>0</v>
      </c>
      <c r="H1334" s="6">
        <v>0</v>
      </c>
      <c r="I1334" s="1">
        <v>374</v>
      </c>
      <c r="J1334" s="116" t="s">
        <v>165</v>
      </c>
    </row>
    <row r="1335" spans="1:10" ht="21.75" hidden="1" customHeight="1" x14ac:dyDescent="0.25">
      <c r="A1335" s="2">
        <v>2024</v>
      </c>
      <c r="B1335" s="2">
        <v>6</v>
      </c>
      <c r="C1335" s="2" t="s">
        <v>159</v>
      </c>
      <c r="D1335" s="3">
        <v>45444</v>
      </c>
      <c r="E1335" s="7">
        <v>0</v>
      </c>
      <c r="F1335" s="2">
        <v>0</v>
      </c>
      <c r="G1335" s="6">
        <v>0</v>
      </c>
      <c r="H1335" s="6">
        <v>0</v>
      </c>
      <c r="I1335" s="1">
        <v>375</v>
      </c>
      <c r="J1335" s="116" t="s">
        <v>164</v>
      </c>
    </row>
    <row r="1336" spans="1:10" ht="21.75" hidden="1" customHeight="1" x14ac:dyDescent="0.25">
      <c r="A1336" s="2">
        <v>2024</v>
      </c>
      <c r="B1336" s="2">
        <v>6</v>
      </c>
      <c r="C1336" s="2" t="s">
        <v>160</v>
      </c>
      <c r="D1336" s="3">
        <v>45445</v>
      </c>
      <c r="E1336" s="7">
        <v>0</v>
      </c>
      <c r="F1336" s="2">
        <v>0</v>
      </c>
      <c r="G1336" s="6">
        <v>0</v>
      </c>
      <c r="H1336" s="6">
        <v>0</v>
      </c>
      <c r="I1336" s="1">
        <v>376</v>
      </c>
      <c r="J1336" s="116" t="s">
        <v>164</v>
      </c>
    </row>
    <row r="1337" spans="1:10" ht="21.75" hidden="1" customHeight="1" x14ac:dyDescent="0.25">
      <c r="A1337" s="2">
        <v>2024</v>
      </c>
      <c r="B1337" s="2">
        <v>6</v>
      </c>
      <c r="C1337" s="2" t="s">
        <v>161</v>
      </c>
      <c r="D1337" s="3">
        <v>45446</v>
      </c>
      <c r="E1337" s="7">
        <v>0</v>
      </c>
      <c r="F1337" s="2">
        <v>0</v>
      </c>
      <c r="G1337" s="6">
        <v>0</v>
      </c>
      <c r="H1337" s="6">
        <v>0</v>
      </c>
      <c r="I1337" s="1">
        <v>377</v>
      </c>
      <c r="J1337" s="116" t="s">
        <v>165</v>
      </c>
    </row>
    <row r="1338" spans="1:10" ht="21.75" hidden="1" customHeight="1" x14ac:dyDescent="0.25">
      <c r="A1338" s="2">
        <v>2024</v>
      </c>
      <c r="B1338" s="2">
        <v>6</v>
      </c>
      <c r="C1338" s="2" t="s">
        <v>162</v>
      </c>
      <c r="D1338" s="3">
        <v>45447</v>
      </c>
      <c r="E1338" s="7">
        <v>0</v>
      </c>
      <c r="F1338" s="2">
        <v>0</v>
      </c>
      <c r="G1338" s="6">
        <v>0</v>
      </c>
      <c r="H1338" s="6">
        <v>0</v>
      </c>
      <c r="I1338" s="1">
        <v>378</v>
      </c>
      <c r="J1338" s="116" t="s">
        <v>165</v>
      </c>
    </row>
    <row r="1339" spans="1:10" ht="21.75" hidden="1" customHeight="1" x14ac:dyDescent="0.25">
      <c r="A1339" s="2">
        <v>2024</v>
      </c>
      <c r="B1339" s="2">
        <v>6</v>
      </c>
      <c r="C1339" s="2" t="s">
        <v>163</v>
      </c>
      <c r="D1339" s="3">
        <v>45448</v>
      </c>
      <c r="E1339" s="7">
        <v>0</v>
      </c>
      <c r="F1339" s="2">
        <v>0</v>
      </c>
      <c r="G1339" s="6">
        <v>0</v>
      </c>
      <c r="H1339" s="6">
        <v>0</v>
      </c>
      <c r="I1339" s="1">
        <v>379</v>
      </c>
      <c r="J1339" s="116" t="s">
        <v>165</v>
      </c>
    </row>
    <row r="1340" spans="1:10" ht="21.75" hidden="1" customHeight="1" x14ac:dyDescent="0.25">
      <c r="A1340" s="2">
        <v>2024</v>
      </c>
      <c r="B1340" s="2">
        <v>6</v>
      </c>
      <c r="C1340" s="2" t="s">
        <v>157</v>
      </c>
      <c r="D1340" s="3">
        <v>45449</v>
      </c>
      <c r="E1340" s="7">
        <v>0</v>
      </c>
      <c r="F1340" s="2">
        <v>0</v>
      </c>
      <c r="G1340" s="6">
        <v>0</v>
      </c>
      <c r="H1340" s="6">
        <v>0</v>
      </c>
      <c r="I1340" s="1">
        <v>380</v>
      </c>
      <c r="J1340" s="116" t="s">
        <v>165</v>
      </c>
    </row>
    <row r="1341" spans="1:10" ht="21.75" hidden="1" customHeight="1" x14ac:dyDescent="0.25">
      <c r="A1341" s="2">
        <v>2024</v>
      </c>
      <c r="B1341" s="2">
        <v>6</v>
      </c>
      <c r="C1341" s="2" t="s">
        <v>158</v>
      </c>
      <c r="D1341" s="3">
        <v>45450</v>
      </c>
      <c r="E1341" s="7">
        <v>0</v>
      </c>
      <c r="F1341" s="2">
        <v>0</v>
      </c>
      <c r="G1341" s="6">
        <v>0</v>
      </c>
      <c r="H1341" s="6">
        <v>0</v>
      </c>
      <c r="I1341" s="1">
        <v>381</v>
      </c>
      <c r="J1341" s="116" t="s">
        <v>165</v>
      </c>
    </row>
    <row r="1342" spans="1:10" ht="21.75" hidden="1" customHeight="1" x14ac:dyDescent="0.25">
      <c r="A1342" s="2">
        <v>2024</v>
      </c>
      <c r="B1342" s="2">
        <v>6</v>
      </c>
      <c r="C1342" s="2" t="s">
        <v>159</v>
      </c>
      <c r="D1342" s="3">
        <v>45451</v>
      </c>
      <c r="E1342" s="7">
        <v>0</v>
      </c>
      <c r="F1342" s="2">
        <v>0</v>
      </c>
      <c r="G1342" s="6">
        <v>0</v>
      </c>
      <c r="H1342" s="6">
        <v>0</v>
      </c>
      <c r="I1342" s="1">
        <v>382</v>
      </c>
      <c r="J1342" s="116" t="s">
        <v>164</v>
      </c>
    </row>
    <row r="1343" spans="1:10" ht="21.75" hidden="1" customHeight="1" x14ac:dyDescent="0.25">
      <c r="A1343" s="2">
        <v>2024</v>
      </c>
      <c r="B1343" s="2">
        <v>6</v>
      </c>
      <c r="C1343" s="2" t="s">
        <v>160</v>
      </c>
      <c r="D1343" s="3">
        <v>45452</v>
      </c>
      <c r="E1343" s="7">
        <v>0</v>
      </c>
      <c r="F1343" s="2">
        <v>0</v>
      </c>
      <c r="G1343" s="6">
        <v>0</v>
      </c>
      <c r="H1343" s="6">
        <v>0</v>
      </c>
      <c r="I1343" s="1">
        <v>383</v>
      </c>
      <c r="J1343" s="116" t="s">
        <v>164</v>
      </c>
    </row>
    <row r="1344" spans="1:10" ht="21.75" hidden="1" customHeight="1" x14ac:dyDescent="0.25">
      <c r="A1344" s="2">
        <v>2024</v>
      </c>
      <c r="B1344" s="2">
        <v>6</v>
      </c>
      <c r="C1344" s="2" t="s">
        <v>161</v>
      </c>
      <c r="D1344" s="3">
        <v>45453</v>
      </c>
      <c r="E1344" s="7">
        <v>0</v>
      </c>
      <c r="F1344" s="2">
        <v>0</v>
      </c>
      <c r="G1344" s="6">
        <v>0</v>
      </c>
      <c r="H1344" s="6">
        <v>0</v>
      </c>
      <c r="I1344" s="1">
        <v>384</v>
      </c>
      <c r="J1344" s="116" t="s">
        <v>165</v>
      </c>
    </row>
    <row r="1345" spans="1:10" ht="21.75" hidden="1" customHeight="1" x14ac:dyDescent="0.25">
      <c r="A1345" s="2">
        <v>2024</v>
      </c>
      <c r="B1345" s="2">
        <v>6</v>
      </c>
      <c r="C1345" s="2" t="s">
        <v>162</v>
      </c>
      <c r="D1345" s="3">
        <v>45454</v>
      </c>
      <c r="E1345" s="7">
        <v>0</v>
      </c>
      <c r="F1345" s="2">
        <v>0</v>
      </c>
      <c r="G1345" s="6">
        <v>0</v>
      </c>
      <c r="H1345" s="6">
        <v>0</v>
      </c>
      <c r="I1345" s="1">
        <v>385</v>
      </c>
      <c r="J1345" s="116" t="s">
        <v>165</v>
      </c>
    </row>
    <row r="1346" spans="1:10" ht="21.75" hidden="1" customHeight="1" x14ac:dyDescent="0.25">
      <c r="A1346" s="2">
        <v>2024</v>
      </c>
      <c r="B1346" s="2">
        <v>6</v>
      </c>
      <c r="C1346" s="2" t="s">
        <v>163</v>
      </c>
      <c r="D1346" s="3">
        <v>45455</v>
      </c>
      <c r="E1346" s="7">
        <v>0</v>
      </c>
      <c r="F1346" s="2">
        <v>0</v>
      </c>
      <c r="G1346" s="6">
        <v>0</v>
      </c>
      <c r="H1346" s="6">
        <v>0</v>
      </c>
      <c r="I1346" s="1">
        <v>386</v>
      </c>
      <c r="J1346" s="116" t="s">
        <v>165</v>
      </c>
    </row>
    <row r="1347" spans="1:10" ht="21.75" hidden="1" customHeight="1" x14ac:dyDescent="0.25">
      <c r="A1347" s="2">
        <v>2024</v>
      </c>
      <c r="B1347" s="2">
        <v>6</v>
      </c>
      <c r="C1347" s="2" t="s">
        <v>157</v>
      </c>
      <c r="D1347" s="3">
        <v>45456</v>
      </c>
      <c r="E1347" s="7">
        <v>0</v>
      </c>
      <c r="F1347" s="2">
        <v>0</v>
      </c>
      <c r="G1347" s="6">
        <v>0</v>
      </c>
      <c r="H1347" s="6">
        <v>0</v>
      </c>
      <c r="I1347" s="1">
        <v>387</v>
      </c>
      <c r="J1347" s="116" t="s">
        <v>165</v>
      </c>
    </row>
    <row r="1348" spans="1:10" ht="21.75" hidden="1" customHeight="1" x14ac:dyDescent="0.25">
      <c r="A1348" s="2">
        <v>2024</v>
      </c>
      <c r="B1348" s="2">
        <v>6</v>
      </c>
      <c r="C1348" s="2" t="s">
        <v>158</v>
      </c>
      <c r="D1348" s="3">
        <v>45457</v>
      </c>
      <c r="E1348" s="7">
        <v>0</v>
      </c>
      <c r="F1348" s="2">
        <v>0</v>
      </c>
      <c r="G1348" s="6">
        <v>0</v>
      </c>
      <c r="H1348" s="6">
        <v>0</v>
      </c>
      <c r="I1348" s="1">
        <v>388</v>
      </c>
      <c r="J1348" s="116" t="s">
        <v>165</v>
      </c>
    </row>
    <row r="1349" spans="1:10" ht="21.75" hidden="1" customHeight="1" x14ac:dyDescent="0.25">
      <c r="A1349" s="2">
        <v>2024</v>
      </c>
      <c r="B1349" s="2">
        <v>6</v>
      </c>
      <c r="C1349" s="2" t="s">
        <v>159</v>
      </c>
      <c r="D1349" s="3">
        <v>45458</v>
      </c>
      <c r="E1349" s="7">
        <v>0</v>
      </c>
      <c r="F1349" s="2">
        <v>0</v>
      </c>
      <c r="G1349" s="6">
        <v>0</v>
      </c>
      <c r="H1349" s="6">
        <v>0</v>
      </c>
      <c r="I1349" s="1">
        <v>389</v>
      </c>
      <c r="J1349" s="116" t="s">
        <v>164</v>
      </c>
    </row>
    <row r="1350" spans="1:10" ht="21.75" hidden="1" customHeight="1" x14ac:dyDescent="0.25">
      <c r="A1350" s="2">
        <v>2024</v>
      </c>
      <c r="B1350" s="2">
        <v>6</v>
      </c>
      <c r="C1350" s="2" t="s">
        <v>160</v>
      </c>
      <c r="D1350" s="3">
        <v>45459</v>
      </c>
      <c r="E1350" s="7">
        <v>0</v>
      </c>
      <c r="F1350" s="2">
        <v>0</v>
      </c>
      <c r="G1350" s="6">
        <v>0</v>
      </c>
      <c r="H1350" s="6">
        <v>0</v>
      </c>
      <c r="I1350" s="1">
        <v>390</v>
      </c>
      <c r="J1350" s="116" t="s">
        <v>164</v>
      </c>
    </row>
    <row r="1351" spans="1:10" ht="21.75" hidden="1" customHeight="1" x14ac:dyDescent="0.25">
      <c r="A1351" s="2">
        <v>2024</v>
      </c>
      <c r="B1351" s="2">
        <v>6</v>
      </c>
      <c r="C1351" s="2" t="s">
        <v>161</v>
      </c>
      <c r="D1351" s="3">
        <v>45460</v>
      </c>
      <c r="E1351" s="7">
        <v>0</v>
      </c>
      <c r="F1351" s="2">
        <v>0</v>
      </c>
      <c r="G1351" s="6">
        <v>0</v>
      </c>
      <c r="H1351" s="6">
        <v>0</v>
      </c>
      <c r="I1351" s="1">
        <v>391</v>
      </c>
      <c r="J1351" s="116" t="s">
        <v>165</v>
      </c>
    </row>
    <row r="1352" spans="1:10" ht="21.75" hidden="1" customHeight="1" x14ac:dyDescent="0.25">
      <c r="A1352" s="2">
        <v>2024</v>
      </c>
      <c r="B1352" s="2">
        <v>6</v>
      </c>
      <c r="C1352" s="2" t="s">
        <v>162</v>
      </c>
      <c r="D1352" s="3">
        <v>45461</v>
      </c>
      <c r="E1352" s="7">
        <v>0</v>
      </c>
      <c r="F1352" s="2">
        <v>0</v>
      </c>
      <c r="G1352" s="6">
        <v>0</v>
      </c>
      <c r="H1352" s="6">
        <v>0</v>
      </c>
      <c r="I1352" s="1">
        <v>392</v>
      </c>
      <c r="J1352" s="116" t="s">
        <v>165</v>
      </c>
    </row>
    <row r="1353" spans="1:10" ht="21.75" hidden="1" customHeight="1" x14ac:dyDescent="0.25">
      <c r="A1353" s="2">
        <v>2024</v>
      </c>
      <c r="B1353" s="2">
        <v>6</v>
      </c>
      <c r="C1353" s="2" t="s">
        <v>163</v>
      </c>
      <c r="D1353" s="3">
        <v>45462</v>
      </c>
      <c r="E1353" s="7">
        <v>0</v>
      </c>
      <c r="F1353" s="2">
        <v>0</v>
      </c>
      <c r="G1353" s="6">
        <v>0</v>
      </c>
      <c r="H1353" s="6">
        <v>0</v>
      </c>
      <c r="I1353" s="1">
        <v>393</v>
      </c>
      <c r="J1353" s="116" t="s">
        <v>165</v>
      </c>
    </row>
    <row r="1354" spans="1:10" ht="21.75" hidden="1" customHeight="1" x14ac:dyDescent="0.25">
      <c r="A1354" s="2">
        <v>2024</v>
      </c>
      <c r="B1354" s="2">
        <v>6</v>
      </c>
      <c r="C1354" s="2" t="s">
        <v>157</v>
      </c>
      <c r="D1354" s="3">
        <v>45463</v>
      </c>
      <c r="E1354" s="7">
        <v>0</v>
      </c>
      <c r="F1354" s="2">
        <v>0</v>
      </c>
      <c r="G1354" s="6">
        <v>0</v>
      </c>
      <c r="H1354" s="6">
        <v>0</v>
      </c>
      <c r="I1354" s="1">
        <v>394</v>
      </c>
      <c r="J1354" s="116" t="s">
        <v>165</v>
      </c>
    </row>
    <row r="1355" spans="1:10" ht="21.75" hidden="1" customHeight="1" x14ac:dyDescent="0.25">
      <c r="A1355" s="2">
        <v>2024</v>
      </c>
      <c r="B1355" s="2">
        <v>6</v>
      </c>
      <c r="C1355" s="2" t="s">
        <v>158</v>
      </c>
      <c r="D1355" s="3">
        <v>45464</v>
      </c>
      <c r="E1355" s="7">
        <v>0</v>
      </c>
      <c r="F1355" s="2">
        <v>0</v>
      </c>
      <c r="G1355" s="6">
        <v>0</v>
      </c>
      <c r="H1355" s="6">
        <v>0</v>
      </c>
      <c r="I1355" s="1">
        <v>395</v>
      </c>
      <c r="J1355" s="116" t="s">
        <v>165</v>
      </c>
    </row>
    <row r="1356" spans="1:10" ht="21.75" hidden="1" customHeight="1" x14ac:dyDescent="0.25">
      <c r="A1356" s="2">
        <v>2024</v>
      </c>
      <c r="B1356" s="2">
        <v>6</v>
      </c>
      <c r="C1356" s="2" t="s">
        <v>159</v>
      </c>
      <c r="D1356" s="3">
        <v>45465</v>
      </c>
      <c r="E1356" s="7">
        <v>0</v>
      </c>
      <c r="F1356" s="2">
        <v>0</v>
      </c>
      <c r="G1356" s="6">
        <v>0</v>
      </c>
      <c r="H1356" s="6">
        <v>0</v>
      </c>
      <c r="I1356" s="1">
        <v>396</v>
      </c>
      <c r="J1356" s="116" t="s">
        <v>164</v>
      </c>
    </row>
    <row r="1357" spans="1:10" ht="21.75" hidden="1" customHeight="1" x14ac:dyDescent="0.25">
      <c r="A1357" s="2">
        <v>2024</v>
      </c>
      <c r="B1357" s="2">
        <v>6</v>
      </c>
      <c r="C1357" s="2" t="s">
        <v>160</v>
      </c>
      <c r="D1357" s="3">
        <v>45466</v>
      </c>
      <c r="E1357" s="7">
        <v>0</v>
      </c>
      <c r="F1357" s="2">
        <v>0</v>
      </c>
      <c r="G1357" s="6">
        <v>0</v>
      </c>
      <c r="H1357" s="6">
        <v>0</v>
      </c>
      <c r="I1357" s="1">
        <v>397</v>
      </c>
      <c r="J1357" s="116" t="s">
        <v>164</v>
      </c>
    </row>
    <row r="1358" spans="1:10" ht="21.75" hidden="1" customHeight="1" x14ac:dyDescent="0.25">
      <c r="A1358" s="2">
        <v>2024</v>
      </c>
      <c r="B1358" s="2">
        <v>6</v>
      </c>
      <c r="C1358" s="2" t="s">
        <v>161</v>
      </c>
      <c r="D1358" s="3">
        <v>45467</v>
      </c>
      <c r="E1358" s="7">
        <v>0</v>
      </c>
      <c r="F1358" s="2">
        <v>0</v>
      </c>
      <c r="G1358" s="6">
        <v>0</v>
      </c>
      <c r="H1358" s="6">
        <v>0</v>
      </c>
      <c r="I1358" s="1">
        <v>398</v>
      </c>
      <c r="J1358" s="116" t="s">
        <v>165</v>
      </c>
    </row>
    <row r="1359" spans="1:10" ht="21.75" hidden="1" customHeight="1" x14ac:dyDescent="0.25">
      <c r="A1359" s="2">
        <v>2024</v>
      </c>
      <c r="B1359" s="2">
        <v>6</v>
      </c>
      <c r="C1359" s="2" t="s">
        <v>162</v>
      </c>
      <c r="D1359" s="3">
        <v>45468</v>
      </c>
      <c r="E1359" s="7">
        <v>0</v>
      </c>
      <c r="F1359" s="2">
        <v>0</v>
      </c>
      <c r="G1359" s="6">
        <v>0</v>
      </c>
      <c r="H1359" s="6">
        <v>0</v>
      </c>
      <c r="I1359" s="1">
        <v>399</v>
      </c>
      <c r="J1359" s="116" t="s">
        <v>165</v>
      </c>
    </row>
    <row r="1360" spans="1:10" ht="21.75" hidden="1" customHeight="1" x14ac:dyDescent="0.25">
      <c r="A1360" s="2">
        <v>2024</v>
      </c>
      <c r="B1360" s="2">
        <v>6</v>
      </c>
      <c r="C1360" s="2" t="s">
        <v>163</v>
      </c>
      <c r="D1360" s="3">
        <v>45469</v>
      </c>
      <c r="E1360" s="7">
        <v>0</v>
      </c>
      <c r="F1360" s="2">
        <v>0</v>
      </c>
      <c r="G1360" s="6">
        <v>0</v>
      </c>
      <c r="H1360" s="6">
        <v>0</v>
      </c>
      <c r="I1360" s="1">
        <v>400</v>
      </c>
      <c r="J1360" s="116" t="s">
        <v>165</v>
      </c>
    </row>
    <row r="1361" spans="1:16" ht="21.75" hidden="1" customHeight="1" x14ac:dyDescent="0.25">
      <c r="A1361" s="2">
        <v>2024</v>
      </c>
      <c r="B1361" s="2">
        <v>6</v>
      </c>
      <c r="C1361" s="2" t="s">
        <v>157</v>
      </c>
      <c r="D1361" s="3">
        <v>45470</v>
      </c>
      <c r="E1361" s="7">
        <v>0</v>
      </c>
      <c r="F1361" s="2">
        <v>0</v>
      </c>
      <c r="G1361" s="6">
        <v>0</v>
      </c>
      <c r="H1361" s="6">
        <v>0</v>
      </c>
      <c r="I1361" s="1">
        <v>401</v>
      </c>
      <c r="J1361" s="116" t="s">
        <v>165</v>
      </c>
    </row>
    <row r="1362" spans="1:16" ht="21.75" hidden="1" customHeight="1" x14ac:dyDescent="0.25">
      <c r="A1362" s="2">
        <v>2024</v>
      </c>
      <c r="B1362" s="2">
        <v>6</v>
      </c>
      <c r="C1362" s="2" t="s">
        <v>158</v>
      </c>
      <c r="D1362" s="3">
        <v>45471</v>
      </c>
      <c r="E1362" s="7">
        <v>0</v>
      </c>
      <c r="F1362" s="2">
        <v>0</v>
      </c>
      <c r="G1362" s="6">
        <v>0</v>
      </c>
      <c r="H1362" s="6">
        <v>0</v>
      </c>
      <c r="I1362" s="1">
        <v>402</v>
      </c>
      <c r="J1362" s="116" t="s">
        <v>165</v>
      </c>
    </row>
    <row r="1363" spans="1:16" ht="21.75" hidden="1" customHeight="1" x14ac:dyDescent="0.25">
      <c r="A1363" s="2">
        <v>2024</v>
      </c>
      <c r="B1363" s="2">
        <v>6</v>
      </c>
      <c r="C1363" s="2" t="s">
        <v>159</v>
      </c>
      <c r="D1363" s="3">
        <v>45472</v>
      </c>
      <c r="E1363" s="7">
        <v>0</v>
      </c>
      <c r="F1363" s="2">
        <v>0</v>
      </c>
      <c r="G1363" s="6">
        <v>0</v>
      </c>
      <c r="H1363" s="6">
        <v>0</v>
      </c>
      <c r="I1363" s="1">
        <v>403</v>
      </c>
      <c r="J1363" s="116" t="s">
        <v>164</v>
      </c>
    </row>
    <row r="1364" spans="1:16" ht="21.75" hidden="1" customHeight="1" x14ac:dyDescent="0.25">
      <c r="A1364" s="2">
        <v>2024</v>
      </c>
      <c r="B1364" s="2">
        <v>6</v>
      </c>
      <c r="C1364" s="2" t="s">
        <v>160</v>
      </c>
      <c r="D1364" s="3">
        <v>45473</v>
      </c>
      <c r="E1364" s="7">
        <v>0</v>
      </c>
      <c r="F1364" s="2">
        <v>0</v>
      </c>
      <c r="G1364" s="6">
        <v>0</v>
      </c>
      <c r="H1364" s="6">
        <v>0</v>
      </c>
      <c r="I1364" s="1">
        <v>404</v>
      </c>
      <c r="J1364" s="116" t="s">
        <v>164</v>
      </c>
    </row>
    <row r="1365" spans="1:16" ht="21.75" hidden="1" customHeight="1" x14ac:dyDescent="0.25">
      <c r="A1365" s="2">
        <v>2024</v>
      </c>
      <c r="B1365" s="2">
        <v>7</v>
      </c>
      <c r="C1365" s="2" t="s">
        <v>161</v>
      </c>
      <c r="D1365" s="3">
        <v>45474</v>
      </c>
      <c r="E1365" s="7">
        <v>0</v>
      </c>
      <c r="F1365" s="2">
        <v>0</v>
      </c>
      <c r="G1365" s="6">
        <v>0</v>
      </c>
      <c r="H1365" s="6">
        <v>0</v>
      </c>
      <c r="I1365" s="1">
        <v>405</v>
      </c>
      <c r="J1365" s="116" t="s">
        <v>165</v>
      </c>
    </row>
    <row r="1366" spans="1:16" ht="21.75" hidden="1" customHeight="1" x14ac:dyDescent="0.25">
      <c r="A1366" s="2">
        <v>2024</v>
      </c>
      <c r="B1366" s="2">
        <v>7</v>
      </c>
      <c r="C1366" s="2" t="s">
        <v>162</v>
      </c>
      <c r="D1366" s="3">
        <v>45475</v>
      </c>
      <c r="E1366" s="7">
        <v>0</v>
      </c>
      <c r="F1366" s="2">
        <v>0</v>
      </c>
      <c r="G1366" s="6">
        <v>0</v>
      </c>
      <c r="H1366" s="6">
        <v>0</v>
      </c>
      <c r="I1366" s="1">
        <v>406</v>
      </c>
      <c r="J1366" s="116" t="s">
        <v>165</v>
      </c>
    </row>
    <row r="1367" spans="1:16" ht="21.75" hidden="1" customHeight="1" x14ac:dyDescent="0.25">
      <c r="A1367" s="2">
        <v>2024</v>
      </c>
      <c r="B1367" s="2">
        <v>7</v>
      </c>
      <c r="C1367" s="2" t="s">
        <v>163</v>
      </c>
      <c r="D1367" s="3">
        <v>45476</v>
      </c>
      <c r="E1367" s="7">
        <v>0</v>
      </c>
      <c r="F1367" s="2">
        <v>0</v>
      </c>
      <c r="G1367" s="6">
        <v>0</v>
      </c>
      <c r="H1367" s="6">
        <v>0</v>
      </c>
      <c r="I1367" s="1">
        <v>407</v>
      </c>
      <c r="J1367" s="116" t="s">
        <v>165</v>
      </c>
    </row>
    <row r="1368" spans="1:16" ht="21.75" hidden="1" customHeight="1" x14ac:dyDescent="0.25">
      <c r="A1368" s="2">
        <v>2024</v>
      </c>
      <c r="B1368" s="2">
        <v>7</v>
      </c>
      <c r="C1368" s="2" t="s">
        <v>157</v>
      </c>
      <c r="D1368" s="3">
        <v>45477</v>
      </c>
      <c r="E1368" s="7">
        <v>0</v>
      </c>
      <c r="F1368" s="2">
        <v>0</v>
      </c>
      <c r="G1368" s="6">
        <v>0</v>
      </c>
      <c r="H1368" s="6">
        <v>0</v>
      </c>
      <c r="I1368" s="1">
        <v>408</v>
      </c>
      <c r="J1368" s="116" t="s">
        <v>165</v>
      </c>
    </row>
    <row r="1369" spans="1:16" ht="21.75" hidden="1" customHeight="1" x14ac:dyDescent="0.25">
      <c r="A1369" s="2">
        <v>2024</v>
      </c>
      <c r="B1369" s="2">
        <v>7</v>
      </c>
      <c r="C1369" s="2" t="s">
        <v>158</v>
      </c>
      <c r="D1369" s="3">
        <v>45478</v>
      </c>
      <c r="E1369" s="7">
        <v>0</v>
      </c>
      <c r="F1369" s="2">
        <v>0</v>
      </c>
      <c r="G1369" s="6">
        <v>0</v>
      </c>
      <c r="H1369" s="6">
        <v>0</v>
      </c>
      <c r="I1369" s="1">
        <v>409</v>
      </c>
      <c r="J1369" s="116" t="s">
        <v>165</v>
      </c>
    </row>
    <row r="1370" spans="1:16" ht="21.75" hidden="1" customHeight="1" x14ac:dyDescent="0.25">
      <c r="A1370" s="2">
        <v>2024</v>
      </c>
      <c r="B1370" s="2">
        <v>7</v>
      </c>
      <c r="C1370" s="2" t="s">
        <v>159</v>
      </c>
      <c r="D1370" s="3">
        <v>45479</v>
      </c>
      <c r="E1370" s="7">
        <v>0</v>
      </c>
      <c r="F1370" s="2">
        <v>0</v>
      </c>
      <c r="G1370" s="6">
        <v>0</v>
      </c>
      <c r="H1370" s="6">
        <v>0</v>
      </c>
      <c r="I1370" s="1">
        <v>410</v>
      </c>
      <c r="J1370" s="116" t="s">
        <v>164</v>
      </c>
    </row>
    <row r="1371" spans="1:16" ht="21.75" hidden="1" customHeight="1" x14ac:dyDescent="0.25">
      <c r="A1371" s="2">
        <v>2024</v>
      </c>
      <c r="B1371" s="2">
        <v>7</v>
      </c>
      <c r="C1371" s="2" t="s">
        <v>160</v>
      </c>
      <c r="D1371" s="3">
        <v>45480</v>
      </c>
      <c r="E1371" s="7">
        <v>0</v>
      </c>
      <c r="F1371" s="2">
        <v>0</v>
      </c>
      <c r="G1371" s="6">
        <v>0</v>
      </c>
      <c r="H1371" s="6">
        <v>0</v>
      </c>
      <c r="I1371" s="1">
        <v>411</v>
      </c>
      <c r="J1371" s="116" t="s">
        <v>164</v>
      </c>
    </row>
    <row r="1372" spans="1:16" ht="21.75" hidden="1" customHeight="1" x14ac:dyDescent="0.25">
      <c r="A1372" s="2">
        <v>2024</v>
      </c>
      <c r="B1372" s="2">
        <v>7</v>
      </c>
      <c r="C1372" s="2" t="s">
        <v>161</v>
      </c>
      <c r="D1372" s="3">
        <v>45481</v>
      </c>
      <c r="E1372" s="7">
        <v>0</v>
      </c>
      <c r="F1372" s="2">
        <v>0</v>
      </c>
      <c r="G1372" s="6">
        <v>0</v>
      </c>
      <c r="H1372" s="6">
        <v>0</v>
      </c>
      <c r="I1372" s="1">
        <v>412</v>
      </c>
      <c r="J1372" s="116" t="s">
        <v>165</v>
      </c>
    </row>
    <row r="1373" spans="1:16" ht="21.75" hidden="1" customHeight="1" x14ac:dyDescent="0.25">
      <c r="A1373" s="2">
        <v>2024</v>
      </c>
      <c r="B1373" s="2">
        <v>7</v>
      </c>
      <c r="C1373" s="2" t="s">
        <v>162</v>
      </c>
      <c r="D1373" s="3">
        <v>45482</v>
      </c>
      <c r="E1373" s="7">
        <v>0</v>
      </c>
      <c r="F1373" s="2">
        <v>0</v>
      </c>
      <c r="G1373" s="6">
        <v>0</v>
      </c>
      <c r="H1373" s="6">
        <v>0</v>
      </c>
      <c r="I1373" s="1">
        <v>413</v>
      </c>
      <c r="J1373" s="116" t="s">
        <v>165</v>
      </c>
    </row>
    <row r="1374" spans="1:16" ht="21.75" hidden="1" customHeight="1" x14ac:dyDescent="0.25">
      <c r="A1374" s="2">
        <v>2024</v>
      </c>
      <c r="B1374" s="2">
        <v>7</v>
      </c>
      <c r="C1374" s="2" t="s">
        <v>163</v>
      </c>
      <c r="D1374" s="3">
        <v>45483</v>
      </c>
      <c r="E1374" s="7">
        <v>0</v>
      </c>
      <c r="F1374" s="2">
        <v>0</v>
      </c>
      <c r="G1374" s="6">
        <v>0</v>
      </c>
      <c r="H1374" s="6">
        <v>0</v>
      </c>
      <c r="I1374" s="1">
        <v>414</v>
      </c>
      <c r="J1374" s="116" t="s">
        <v>165</v>
      </c>
    </row>
    <row r="1375" spans="1:16" ht="21.75" hidden="1" customHeight="1" x14ac:dyDescent="0.25">
      <c r="A1375" s="2">
        <v>2024</v>
      </c>
      <c r="B1375" s="2">
        <v>7</v>
      </c>
      <c r="C1375" s="2" t="s">
        <v>157</v>
      </c>
      <c r="D1375" s="3">
        <v>45484</v>
      </c>
      <c r="E1375" s="7">
        <v>0</v>
      </c>
      <c r="F1375" s="2">
        <v>0</v>
      </c>
      <c r="G1375" s="6">
        <v>0</v>
      </c>
      <c r="H1375" s="6">
        <v>0</v>
      </c>
      <c r="I1375" s="1">
        <v>415</v>
      </c>
      <c r="J1375" s="116" t="s">
        <v>165</v>
      </c>
    </row>
    <row r="1376" spans="1:16" ht="21.75" hidden="1" customHeight="1" x14ac:dyDescent="0.25">
      <c r="A1376" s="2">
        <v>2024</v>
      </c>
      <c r="B1376" s="2">
        <v>7</v>
      </c>
      <c r="C1376" s="2" t="s">
        <v>158</v>
      </c>
      <c r="D1376" s="3">
        <v>45485</v>
      </c>
      <c r="E1376" s="7">
        <f>+[2]일자별!E1376</f>
        <v>923</v>
      </c>
      <c r="F1376" s="7" t="str">
        <f>+[2]일자별!F1376</f>
        <v>아샴</v>
      </c>
      <c r="G1376" s="7">
        <f>+[2]일자별!G1376</f>
        <v>56</v>
      </c>
      <c r="H1376" s="7">
        <f>+[2]일자별!H1376</f>
        <v>867</v>
      </c>
      <c r="I1376" s="7">
        <f>+[2]일자별!I1376</f>
        <v>1</v>
      </c>
      <c r="J1376" s="116" t="s">
        <v>165</v>
      </c>
      <c r="K1376" s="6">
        <f>+[2]일자별!Q1376</f>
        <v>11</v>
      </c>
      <c r="L1376" s="6">
        <f>+[2]일자별!R1376</f>
        <v>653</v>
      </c>
      <c r="M1376" s="6">
        <f>+[2]일자별!S1376</f>
        <v>664</v>
      </c>
      <c r="N1376" s="366">
        <v>0.71939328277356451</v>
      </c>
      <c r="P1376" s="1">
        <v>56</v>
      </c>
    </row>
    <row r="1377" spans="1:16" ht="21.75" hidden="1" customHeight="1" x14ac:dyDescent="0.25">
      <c r="A1377" s="2">
        <v>2024</v>
      </c>
      <c r="B1377" s="2">
        <v>7</v>
      </c>
      <c r="C1377" s="2" t="s">
        <v>159</v>
      </c>
      <c r="D1377" s="3">
        <f>+D1376+1</f>
        <v>45486</v>
      </c>
      <c r="E1377" s="7">
        <f>+[2]일자별!E1377</f>
        <v>735</v>
      </c>
      <c r="F1377" s="7" t="str">
        <f>+[2]일자별!F1377</f>
        <v>아샴</v>
      </c>
      <c r="G1377" s="7">
        <f>+[2]일자별!G1377</f>
        <v>29</v>
      </c>
      <c r="H1377" s="7">
        <f>+[2]일자별!H1377</f>
        <v>706</v>
      </c>
      <c r="I1377" s="1">
        <f>+[2]일자별!I1377</f>
        <v>2</v>
      </c>
      <c r="J1377" s="116" t="s">
        <v>164</v>
      </c>
      <c r="K1377" s="6">
        <f>+[2]일자별!Q1377</f>
        <v>15</v>
      </c>
      <c r="L1377" s="6">
        <f>+[2]일자별!R1377</f>
        <v>437</v>
      </c>
      <c r="M1377" s="6">
        <f>+[2]일자별!S1377</f>
        <v>452</v>
      </c>
      <c r="N1377" s="366">
        <v>0.6149659863945578</v>
      </c>
      <c r="P1377" s="1">
        <v>29</v>
      </c>
    </row>
    <row r="1378" spans="1:16" ht="21.75" hidden="1" customHeight="1" x14ac:dyDescent="0.25">
      <c r="A1378" s="2">
        <v>2024</v>
      </c>
      <c r="B1378" s="2">
        <v>7</v>
      </c>
      <c r="C1378" s="2" t="s">
        <v>160</v>
      </c>
      <c r="D1378" s="3">
        <f t="shared" ref="D1378:D1441" si="21">+D1377+1</f>
        <v>45487</v>
      </c>
      <c r="E1378" s="7">
        <f>+[2]일자별!E1378</f>
        <v>725</v>
      </c>
      <c r="F1378" s="7" t="str">
        <f>+[2]일자별!F1378</f>
        <v>아샴</v>
      </c>
      <c r="G1378" s="7">
        <f>+[2]일자별!G1378</f>
        <v>31</v>
      </c>
      <c r="H1378" s="7">
        <f>+[2]일자별!H1378</f>
        <v>694</v>
      </c>
      <c r="I1378" s="1">
        <f>+[2]일자별!I1378</f>
        <v>3</v>
      </c>
      <c r="J1378" s="116" t="s">
        <v>164</v>
      </c>
      <c r="K1378" s="6">
        <f>+[2]일자별!Q1378</f>
        <v>11</v>
      </c>
      <c r="L1378" s="6">
        <f>+[2]일자별!R1378</f>
        <v>398</v>
      </c>
      <c r="M1378" s="6">
        <f>+[2]일자별!S1378</f>
        <v>409</v>
      </c>
      <c r="N1378" s="366">
        <v>0.56413793103448273</v>
      </c>
      <c r="P1378" s="1">
        <v>31</v>
      </c>
    </row>
    <row r="1379" spans="1:16" ht="21.75" hidden="1" customHeight="1" x14ac:dyDescent="0.25">
      <c r="A1379" s="2">
        <v>2024</v>
      </c>
      <c r="B1379" s="2">
        <v>7</v>
      </c>
      <c r="C1379" s="2" t="s">
        <v>161</v>
      </c>
      <c r="D1379" s="3">
        <f t="shared" si="21"/>
        <v>45488</v>
      </c>
      <c r="E1379" s="7">
        <f>+[2]일자별!E1379</f>
        <v>353</v>
      </c>
      <c r="F1379" s="7" t="str">
        <f>+[2]일자별!F1379</f>
        <v>아샴</v>
      </c>
      <c r="G1379" s="7">
        <f>+[2]일자별!G1379</f>
        <v>54</v>
      </c>
      <c r="H1379" s="7">
        <f>+[2]일자별!H1379</f>
        <v>299</v>
      </c>
      <c r="I1379" s="1">
        <f>+[2]일자별!I1379</f>
        <v>4</v>
      </c>
      <c r="J1379" s="116" t="s">
        <v>165</v>
      </c>
      <c r="K1379" s="6">
        <f>+[2]일자별!Q1379</f>
        <v>6</v>
      </c>
      <c r="L1379" s="6">
        <f>+[2]일자별!R1379</f>
        <v>158</v>
      </c>
      <c r="M1379" s="6">
        <f>+[2]일자별!S1379</f>
        <v>164</v>
      </c>
      <c r="N1379" s="366">
        <v>0.46458923512747874</v>
      </c>
      <c r="P1379" s="1">
        <v>54</v>
      </c>
    </row>
    <row r="1380" spans="1:16" ht="21.75" hidden="1" customHeight="1" x14ac:dyDescent="0.25">
      <c r="A1380" s="2">
        <v>2024</v>
      </c>
      <c r="B1380" s="2">
        <v>7</v>
      </c>
      <c r="C1380" s="2" t="s">
        <v>162</v>
      </c>
      <c r="D1380" s="3">
        <f t="shared" si="21"/>
        <v>45489</v>
      </c>
      <c r="E1380" s="7">
        <f>+[2]일자별!E1380</f>
        <v>256</v>
      </c>
      <c r="F1380" s="7" t="str">
        <f>+[2]일자별!F1380</f>
        <v>아샴</v>
      </c>
      <c r="G1380" s="7">
        <f>+[2]일자별!G1380</f>
        <v>18</v>
      </c>
      <c r="H1380" s="7">
        <f>+[2]일자별!H1380</f>
        <v>238</v>
      </c>
      <c r="I1380" s="1">
        <f>+[2]일자별!I1380</f>
        <v>5</v>
      </c>
      <c r="J1380" s="116" t="s">
        <v>165</v>
      </c>
      <c r="K1380" s="6">
        <f>+[2]일자별!Q1380</f>
        <v>4</v>
      </c>
      <c r="L1380" s="6">
        <f>+[2]일자별!R1380</f>
        <v>119</v>
      </c>
      <c r="M1380" s="6">
        <f>+[2]일자별!S1380</f>
        <v>123</v>
      </c>
      <c r="N1380" s="366">
        <v>0.48046875</v>
      </c>
      <c r="P1380" s="1">
        <v>18</v>
      </c>
    </row>
    <row r="1381" spans="1:16" ht="21.75" hidden="1" customHeight="1" x14ac:dyDescent="0.25">
      <c r="A1381" s="2">
        <v>2024</v>
      </c>
      <c r="B1381" s="2">
        <v>7</v>
      </c>
      <c r="C1381" s="2" t="s">
        <v>163</v>
      </c>
      <c r="D1381" s="3">
        <f t="shared" si="21"/>
        <v>45490</v>
      </c>
      <c r="E1381" s="7">
        <f>+[2]일자별!E1381</f>
        <v>256</v>
      </c>
      <c r="F1381" s="7" t="str">
        <f>+[2]일자별!F1381</f>
        <v>아샴</v>
      </c>
      <c r="G1381" s="7">
        <f>+[2]일자별!G1381</f>
        <v>9</v>
      </c>
      <c r="H1381" s="7">
        <f>+[2]일자별!H1381</f>
        <v>247</v>
      </c>
      <c r="I1381" s="1">
        <f>+[2]일자별!I1381</f>
        <v>6</v>
      </c>
      <c r="J1381" s="116" t="s">
        <v>165</v>
      </c>
      <c r="K1381" s="6">
        <f>+[2]일자별!Q1381</f>
        <v>5</v>
      </c>
      <c r="L1381" s="6">
        <f>+[2]일자별!R1381</f>
        <v>103</v>
      </c>
      <c r="M1381" s="6">
        <f>+[2]일자별!S1381</f>
        <v>108</v>
      </c>
      <c r="N1381" s="366">
        <v>0.421875</v>
      </c>
      <c r="P1381" s="1">
        <v>9</v>
      </c>
    </row>
    <row r="1382" spans="1:16" ht="21.75" hidden="1" customHeight="1" x14ac:dyDescent="0.25">
      <c r="A1382" s="2">
        <v>2024</v>
      </c>
      <c r="B1382" s="2">
        <v>7</v>
      </c>
      <c r="C1382" s="2" t="s">
        <v>157</v>
      </c>
      <c r="D1382" s="3">
        <f t="shared" si="21"/>
        <v>45491</v>
      </c>
      <c r="E1382" s="7">
        <f>+[2]일자별!E1382</f>
        <v>232</v>
      </c>
      <c r="F1382" s="7" t="str">
        <f>+[2]일자별!F1382</f>
        <v>아샴</v>
      </c>
      <c r="G1382" s="7">
        <f>+[2]일자별!G1382</f>
        <v>15</v>
      </c>
      <c r="H1382" s="7">
        <f>+[2]일자별!H1382</f>
        <v>217</v>
      </c>
      <c r="I1382" s="1">
        <f>+[2]일자별!I1382</f>
        <v>7</v>
      </c>
      <c r="J1382" s="116" t="s">
        <v>165</v>
      </c>
      <c r="K1382" s="6">
        <f>+[2]일자별!Q1382</f>
        <v>8</v>
      </c>
      <c r="L1382" s="6">
        <f>+[2]일자별!R1382</f>
        <v>79</v>
      </c>
      <c r="M1382" s="6">
        <f>+[2]일자별!S1382</f>
        <v>87</v>
      </c>
      <c r="N1382" s="366">
        <v>0.375</v>
      </c>
      <c r="P1382" s="1">
        <v>15</v>
      </c>
    </row>
    <row r="1383" spans="1:16" ht="21.75" hidden="1" customHeight="1" x14ac:dyDescent="0.25">
      <c r="A1383" s="2">
        <v>2024</v>
      </c>
      <c r="B1383" s="2">
        <v>7</v>
      </c>
      <c r="C1383" s="2" t="s">
        <v>158</v>
      </c>
      <c r="D1383" s="3">
        <f t="shared" si="21"/>
        <v>45492</v>
      </c>
      <c r="E1383" s="7">
        <f>+[2]일자별!E1383</f>
        <v>373</v>
      </c>
      <c r="F1383" s="7" t="str">
        <f>+[2]일자별!F1383</f>
        <v>아샴</v>
      </c>
      <c r="G1383" s="7">
        <f>+[2]일자별!G1383</f>
        <v>15</v>
      </c>
      <c r="H1383" s="7">
        <f>+[2]일자별!H1383</f>
        <v>358</v>
      </c>
      <c r="I1383" s="1">
        <f>+[2]일자별!I1383</f>
        <v>8</v>
      </c>
      <c r="J1383" s="116" t="s">
        <v>165</v>
      </c>
      <c r="K1383" s="6">
        <f>+[2]일자별!Q1383</f>
        <v>9</v>
      </c>
      <c r="L1383" s="6">
        <f>+[2]일자별!R1383</f>
        <v>142</v>
      </c>
      <c r="M1383" s="6">
        <f>+[2]일자별!S1383</f>
        <v>151</v>
      </c>
      <c r="N1383" s="366">
        <v>0.40482573726541554</v>
      </c>
      <c r="P1383" s="1">
        <v>15</v>
      </c>
    </row>
    <row r="1384" spans="1:16" ht="21.75" hidden="1" customHeight="1" x14ac:dyDescent="0.25">
      <c r="A1384" s="2">
        <v>2024</v>
      </c>
      <c r="B1384" s="2">
        <v>7</v>
      </c>
      <c r="C1384" s="2" t="s">
        <v>159</v>
      </c>
      <c r="D1384" s="3">
        <f t="shared" si="21"/>
        <v>45493</v>
      </c>
      <c r="E1384" s="7">
        <f>+[2]일자별!E1384</f>
        <v>802</v>
      </c>
      <c r="F1384" s="7" t="str">
        <f>+[2]일자별!F1384</f>
        <v>아샴</v>
      </c>
      <c r="G1384" s="7">
        <f>+[2]일자별!G1384</f>
        <v>37</v>
      </c>
      <c r="H1384" s="7">
        <f>+[2]일자별!H1384</f>
        <v>765</v>
      </c>
      <c r="I1384" s="1">
        <f>+[2]일자별!I1384</f>
        <v>9</v>
      </c>
      <c r="J1384" s="116" t="s">
        <v>164</v>
      </c>
      <c r="K1384" s="6">
        <f>+[2]일자별!Q1384</f>
        <v>4</v>
      </c>
      <c r="L1384" s="6">
        <f>+[2]일자별!R1384</f>
        <v>341</v>
      </c>
      <c r="M1384" s="6">
        <f>+[2]일자별!S1384</f>
        <v>345</v>
      </c>
      <c r="N1384" s="366">
        <v>0.43017456359102246</v>
      </c>
      <c r="P1384" s="1">
        <v>37</v>
      </c>
    </row>
    <row r="1385" spans="1:16" ht="21.75" hidden="1" customHeight="1" x14ac:dyDescent="0.25">
      <c r="A1385" s="2">
        <v>2024</v>
      </c>
      <c r="B1385" s="2">
        <v>7</v>
      </c>
      <c r="C1385" s="2" t="s">
        <v>160</v>
      </c>
      <c r="D1385" s="3">
        <f t="shared" si="21"/>
        <v>45494</v>
      </c>
      <c r="E1385" s="7">
        <f>+[2]일자별!E1385</f>
        <v>729</v>
      </c>
      <c r="F1385" s="7" t="str">
        <f>+[2]일자별!F1385</f>
        <v>아샴</v>
      </c>
      <c r="G1385" s="7">
        <f>+[2]일자별!G1385</f>
        <v>47</v>
      </c>
      <c r="H1385" s="7">
        <f>+[2]일자별!H1385</f>
        <v>682</v>
      </c>
      <c r="I1385" s="1">
        <f>+[2]일자별!I1385</f>
        <v>10</v>
      </c>
      <c r="J1385" s="116" t="s">
        <v>164</v>
      </c>
      <c r="K1385" s="6">
        <f>+[2]일자별!Q1385</f>
        <v>3</v>
      </c>
      <c r="L1385" s="6">
        <f>+[2]일자별!R1385</f>
        <v>338</v>
      </c>
      <c r="M1385" s="6">
        <f>+[2]일자별!S1385</f>
        <v>341</v>
      </c>
      <c r="N1385" s="366">
        <v>0.46776406035665297</v>
      </c>
      <c r="P1385" s="1">
        <v>47</v>
      </c>
    </row>
    <row r="1386" spans="1:16" ht="21.75" hidden="1" customHeight="1" x14ac:dyDescent="0.25">
      <c r="A1386" s="2">
        <v>2024</v>
      </c>
      <c r="B1386" s="2">
        <v>7</v>
      </c>
      <c r="C1386" s="2" t="s">
        <v>161</v>
      </c>
      <c r="D1386" s="3">
        <f t="shared" si="21"/>
        <v>45495</v>
      </c>
      <c r="E1386" s="7">
        <f>+[2]일자별!E1386</f>
        <v>238</v>
      </c>
      <c r="F1386" s="7" t="str">
        <f>+[2]일자별!F1386</f>
        <v>아샴</v>
      </c>
      <c r="G1386" s="7">
        <f>+[2]일자별!G1386</f>
        <v>25</v>
      </c>
      <c r="H1386" s="7">
        <f>+[2]일자별!H1386</f>
        <v>213</v>
      </c>
      <c r="I1386" s="1">
        <f>+[2]일자별!I1386</f>
        <v>11</v>
      </c>
      <c r="J1386" s="116" t="s">
        <v>165</v>
      </c>
      <c r="K1386" s="6">
        <f>+[2]일자별!Q1386</f>
        <v>5</v>
      </c>
      <c r="L1386" s="6">
        <f>+[2]일자별!R1386</f>
        <v>89</v>
      </c>
      <c r="M1386" s="6">
        <f>+[2]일자별!S1386</f>
        <v>94</v>
      </c>
      <c r="N1386" s="366">
        <v>0.3949579831932773</v>
      </c>
      <c r="P1386" s="1">
        <v>25</v>
      </c>
    </row>
    <row r="1387" spans="1:16" ht="21.75" hidden="1" customHeight="1" x14ac:dyDescent="0.25">
      <c r="A1387" s="2">
        <v>2024</v>
      </c>
      <c r="B1387" s="2">
        <v>7</v>
      </c>
      <c r="C1387" s="2" t="s">
        <v>162</v>
      </c>
      <c r="D1387" s="3">
        <f t="shared" si="21"/>
        <v>45496</v>
      </c>
      <c r="E1387" s="7">
        <f>+[2]일자별!E1387</f>
        <v>309</v>
      </c>
      <c r="F1387" s="7" t="str">
        <f>+[2]일자별!F1387</f>
        <v>아샴</v>
      </c>
      <c r="G1387" s="7">
        <f>+[2]일자별!G1387</f>
        <v>19</v>
      </c>
      <c r="H1387" s="7">
        <f>+[2]일자별!H1387</f>
        <v>290</v>
      </c>
      <c r="I1387" s="1">
        <f>+[2]일자별!I1387</f>
        <v>12</v>
      </c>
      <c r="J1387" s="116" t="s">
        <v>165</v>
      </c>
      <c r="K1387" s="6">
        <f>+[2]일자별!Q1387</f>
        <v>4</v>
      </c>
      <c r="L1387" s="6">
        <f>+[2]일자별!R1387</f>
        <v>97</v>
      </c>
      <c r="M1387" s="6">
        <f>+[2]일자별!S1387</f>
        <v>101</v>
      </c>
      <c r="N1387" s="366">
        <v>0.32686084142394822</v>
      </c>
      <c r="P1387" s="1">
        <v>19</v>
      </c>
    </row>
    <row r="1388" spans="1:16" ht="21.75" hidden="1" customHeight="1" x14ac:dyDescent="0.25">
      <c r="A1388" s="2">
        <v>2024</v>
      </c>
      <c r="B1388" s="2">
        <v>7</v>
      </c>
      <c r="C1388" s="2" t="s">
        <v>163</v>
      </c>
      <c r="D1388" s="3">
        <f t="shared" si="21"/>
        <v>45497</v>
      </c>
      <c r="E1388" s="7">
        <f>+[2]일자별!E1388</f>
        <v>279</v>
      </c>
      <c r="F1388" s="7" t="str">
        <f>+[2]일자별!F1388</f>
        <v>아샴</v>
      </c>
      <c r="G1388" s="7">
        <f>+[2]일자별!G1388</f>
        <v>42</v>
      </c>
      <c r="H1388" s="7">
        <f>+[2]일자별!H1388</f>
        <v>237</v>
      </c>
      <c r="I1388" s="1">
        <f>+[2]일자별!I1388</f>
        <v>13</v>
      </c>
      <c r="J1388" s="116" t="s">
        <v>165</v>
      </c>
      <c r="K1388" s="6">
        <f>+[2]일자별!Q1388</f>
        <v>0</v>
      </c>
      <c r="L1388" s="6">
        <f>+[2]일자별!R1388</f>
        <v>83</v>
      </c>
      <c r="M1388" s="6">
        <f>+[2]일자별!S1388</f>
        <v>83</v>
      </c>
      <c r="N1388" s="366">
        <v>0.29749103942652327</v>
      </c>
      <c r="P1388" s="1">
        <v>42</v>
      </c>
    </row>
    <row r="1389" spans="1:16" ht="21.75" hidden="1" customHeight="1" x14ac:dyDescent="0.25">
      <c r="A1389" s="2">
        <v>2024</v>
      </c>
      <c r="B1389" s="2">
        <v>7</v>
      </c>
      <c r="C1389" s="2" t="s">
        <v>157</v>
      </c>
      <c r="D1389" s="3">
        <f t="shared" si="21"/>
        <v>45498</v>
      </c>
      <c r="E1389" s="7">
        <f>+[2]일자별!E1389</f>
        <v>312</v>
      </c>
      <c r="F1389" s="7" t="str">
        <f>+[2]일자별!F1389</f>
        <v>아샴</v>
      </c>
      <c r="G1389" s="7">
        <f>+[2]일자별!G1389</f>
        <v>41</v>
      </c>
      <c r="H1389" s="7">
        <f>+[2]일자별!H1389</f>
        <v>271</v>
      </c>
      <c r="I1389" s="1">
        <f>+[2]일자별!I1389</f>
        <v>14</v>
      </c>
      <c r="J1389" s="116" t="s">
        <v>165</v>
      </c>
      <c r="K1389" s="6">
        <f>+[2]일자별!Q1389</f>
        <v>2</v>
      </c>
      <c r="L1389" s="6">
        <f>+[2]일자별!R1389</f>
        <v>70</v>
      </c>
      <c r="M1389" s="6">
        <f>+[2]일자별!S1389</f>
        <v>72</v>
      </c>
      <c r="N1389" s="366">
        <v>0.23076923076923078</v>
      </c>
      <c r="P1389" s="1">
        <v>41</v>
      </c>
    </row>
    <row r="1390" spans="1:16" ht="21.75" hidden="1" customHeight="1" x14ac:dyDescent="0.25">
      <c r="A1390" s="2">
        <v>2024</v>
      </c>
      <c r="B1390" s="2">
        <v>7</v>
      </c>
      <c r="C1390" s="2" t="s">
        <v>158</v>
      </c>
      <c r="D1390" s="3">
        <f t="shared" si="21"/>
        <v>45499</v>
      </c>
      <c r="E1390" s="7">
        <f>+[2]일자별!E1390</f>
        <v>397</v>
      </c>
      <c r="F1390" s="7" t="str">
        <f>+[2]일자별!F1390</f>
        <v>아샴</v>
      </c>
      <c r="G1390" s="7">
        <f>+[2]일자별!G1390</f>
        <v>22</v>
      </c>
      <c r="H1390" s="7">
        <f>+[2]일자별!H1390</f>
        <v>375</v>
      </c>
      <c r="I1390" s="1">
        <f>+[2]일자별!I1390</f>
        <v>15</v>
      </c>
      <c r="J1390" s="116" t="s">
        <v>165</v>
      </c>
      <c r="K1390" s="6">
        <f>+[2]일자별!Q1390</f>
        <v>2</v>
      </c>
      <c r="L1390" s="6">
        <f>+[2]일자별!R1390</f>
        <v>133</v>
      </c>
      <c r="M1390" s="6">
        <f>+[2]일자별!S1390</f>
        <v>135</v>
      </c>
      <c r="N1390" s="366">
        <v>0.34005037783375314</v>
      </c>
      <c r="P1390" s="1">
        <v>22</v>
      </c>
    </row>
    <row r="1391" spans="1:16" ht="21.75" hidden="1" customHeight="1" x14ac:dyDescent="0.25">
      <c r="A1391" s="2">
        <v>2024</v>
      </c>
      <c r="B1391" s="2">
        <v>7</v>
      </c>
      <c r="C1391" s="2" t="s">
        <v>159</v>
      </c>
      <c r="D1391" s="3">
        <f t="shared" si="21"/>
        <v>45500</v>
      </c>
      <c r="E1391" s="7">
        <f>+[2]일자별!E1391</f>
        <v>676</v>
      </c>
      <c r="F1391" s="7" t="str">
        <f>+[2]일자별!F1391</f>
        <v>아샴</v>
      </c>
      <c r="G1391" s="7">
        <f>+[2]일자별!G1391</f>
        <v>45</v>
      </c>
      <c r="H1391" s="7">
        <f>+[2]일자별!H1391</f>
        <v>631</v>
      </c>
      <c r="I1391" s="1">
        <f>+[2]일자별!I1391</f>
        <v>16</v>
      </c>
      <c r="J1391" s="116" t="s">
        <v>164</v>
      </c>
      <c r="K1391" s="6">
        <f>+[2]일자별!Q1391</f>
        <v>5</v>
      </c>
      <c r="L1391" s="6">
        <f>+[2]일자별!R1391</f>
        <v>277</v>
      </c>
      <c r="M1391" s="6">
        <f>+[2]일자별!S1391</f>
        <v>282</v>
      </c>
      <c r="N1391" s="366">
        <v>0.91863905325443784</v>
      </c>
      <c r="P1391" s="1">
        <v>45</v>
      </c>
    </row>
    <row r="1392" spans="1:16" ht="21.75" hidden="1" customHeight="1" x14ac:dyDescent="0.25">
      <c r="A1392" s="2">
        <v>2024</v>
      </c>
      <c r="B1392" s="2">
        <v>7</v>
      </c>
      <c r="C1392" s="2" t="s">
        <v>160</v>
      </c>
      <c r="D1392" s="3">
        <f t="shared" si="21"/>
        <v>45501</v>
      </c>
      <c r="E1392" s="7">
        <f>+[2]일자별!E1392</f>
        <v>635</v>
      </c>
      <c r="F1392" s="7" t="str">
        <f>+[2]일자별!F1392</f>
        <v>아샴</v>
      </c>
      <c r="G1392" s="7">
        <f>+[2]일자별!G1392</f>
        <v>28</v>
      </c>
      <c r="H1392" s="7">
        <f>+[2]일자별!H1392</f>
        <v>607</v>
      </c>
      <c r="I1392" s="1">
        <f>+[2]일자별!I1392</f>
        <v>17</v>
      </c>
      <c r="J1392" s="116" t="s">
        <v>164</v>
      </c>
      <c r="K1392" s="6">
        <f>+[2]일자별!Q1392</f>
        <v>2</v>
      </c>
      <c r="L1392" s="6">
        <f>+[2]일자별!R1392</f>
        <v>269</v>
      </c>
      <c r="M1392" s="6">
        <f>+[2]일자별!S1392</f>
        <v>271</v>
      </c>
      <c r="N1392" s="366">
        <v>0.42677165354330709</v>
      </c>
      <c r="P1392" s="1">
        <v>28</v>
      </c>
    </row>
    <row r="1393" spans="1:16" ht="21.75" hidden="1" customHeight="1" x14ac:dyDescent="0.25">
      <c r="A1393" s="2">
        <v>2024</v>
      </c>
      <c r="B1393" s="2">
        <v>7</v>
      </c>
      <c r="C1393" s="2" t="s">
        <v>161</v>
      </c>
      <c r="D1393" s="3">
        <f t="shared" si="21"/>
        <v>45502</v>
      </c>
      <c r="E1393" s="7">
        <f>+[2]일자별!E1393</f>
        <v>305</v>
      </c>
      <c r="F1393" s="7" t="str">
        <f>+[2]일자별!F1393</f>
        <v>아샴</v>
      </c>
      <c r="G1393" s="7">
        <f>+[2]일자별!G1393</f>
        <v>28</v>
      </c>
      <c r="H1393" s="7">
        <f>+[2]일자별!H1393</f>
        <v>277</v>
      </c>
      <c r="I1393" s="1">
        <f>+[2]일자별!I1393</f>
        <v>18</v>
      </c>
      <c r="J1393" s="116" t="s">
        <v>165</v>
      </c>
      <c r="K1393" s="6">
        <f>+[2]일자별!Q1393</f>
        <v>0</v>
      </c>
      <c r="L1393" s="6">
        <f>+[2]일자별!R1393</f>
        <v>85</v>
      </c>
      <c r="M1393" s="6">
        <f>+[2]일자별!S1393</f>
        <v>85</v>
      </c>
      <c r="N1393" s="366">
        <v>0.27868852459016391</v>
      </c>
      <c r="P1393" s="1">
        <v>28</v>
      </c>
    </row>
    <row r="1394" spans="1:16" ht="21.75" hidden="1" customHeight="1" x14ac:dyDescent="0.25">
      <c r="A1394" s="2">
        <v>2024</v>
      </c>
      <c r="B1394" s="2">
        <v>7</v>
      </c>
      <c r="C1394" s="2" t="s">
        <v>162</v>
      </c>
      <c r="D1394" s="3">
        <f t="shared" si="21"/>
        <v>45503</v>
      </c>
      <c r="E1394" s="7">
        <f>+[2]일자별!E1394</f>
        <v>375</v>
      </c>
      <c r="F1394" s="7" t="str">
        <f>+[2]일자별!F1394</f>
        <v>아샴</v>
      </c>
      <c r="G1394" s="7">
        <f>+[2]일자별!G1394</f>
        <v>18</v>
      </c>
      <c r="H1394" s="7">
        <f>+[2]일자별!H1394</f>
        <v>357</v>
      </c>
      <c r="I1394" s="1">
        <f>+[2]일자별!I1394</f>
        <v>19</v>
      </c>
      <c r="J1394" s="116" t="s">
        <v>165</v>
      </c>
      <c r="K1394" s="6">
        <f>+[2]일자별!Q1394</f>
        <v>6</v>
      </c>
      <c r="L1394" s="6">
        <f>+[2]일자별!R1394</f>
        <v>112</v>
      </c>
      <c r="M1394" s="6">
        <f>+[2]일자별!S1394</f>
        <v>118</v>
      </c>
      <c r="N1394" s="366">
        <v>0.27868852459016391</v>
      </c>
      <c r="P1394" s="1">
        <v>18</v>
      </c>
    </row>
    <row r="1395" spans="1:16" ht="21.75" hidden="1" customHeight="1" x14ac:dyDescent="0.25">
      <c r="A1395" s="2">
        <v>2024</v>
      </c>
      <c r="B1395" s="2">
        <v>7</v>
      </c>
      <c r="C1395" s="2" t="s">
        <v>163</v>
      </c>
      <c r="D1395" s="3">
        <f t="shared" si="21"/>
        <v>45504</v>
      </c>
      <c r="E1395" s="7">
        <f>+[2]일자별!E1395</f>
        <v>467</v>
      </c>
      <c r="F1395" s="7" t="str">
        <f>+[2]일자별!F1395</f>
        <v>아샴</v>
      </c>
      <c r="G1395" s="7">
        <f>+[2]일자별!G1395</f>
        <v>16</v>
      </c>
      <c r="H1395" s="7">
        <f>+[2]일자별!H1395</f>
        <v>451</v>
      </c>
      <c r="I1395" s="1">
        <f>+[2]일자별!I1395</f>
        <v>20</v>
      </c>
      <c r="J1395" s="116" t="s">
        <v>165</v>
      </c>
      <c r="K1395" s="6">
        <f>+[2]일자별!Q1395</f>
        <v>8</v>
      </c>
      <c r="L1395" s="6">
        <f>+[2]일자별!R1395</f>
        <v>118</v>
      </c>
      <c r="M1395" s="6">
        <f>+[2]일자별!S1395</f>
        <v>126</v>
      </c>
      <c r="N1395" s="366">
        <v>0.27868852459016391</v>
      </c>
      <c r="P1395" s="1">
        <v>16</v>
      </c>
    </row>
    <row r="1396" spans="1:16" ht="21.75" hidden="1" customHeight="1" x14ac:dyDescent="0.25">
      <c r="A1396" s="2">
        <v>2024</v>
      </c>
      <c r="B1396" s="2">
        <v>8</v>
      </c>
      <c r="C1396" s="2" t="s">
        <v>157</v>
      </c>
      <c r="D1396" s="3">
        <f t="shared" si="21"/>
        <v>45505</v>
      </c>
      <c r="E1396" s="7">
        <f>+[2]일자별!E1396</f>
        <v>366</v>
      </c>
      <c r="F1396" s="7" t="str">
        <f>+[2]일자별!F1396</f>
        <v>아샴</v>
      </c>
      <c r="G1396" s="7">
        <f>+[2]일자별!G1396</f>
        <v>23</v>
      </c>
      <c r="H1396" s="7">
        <f>+[2]일자별!H1396</f>
        <v>343</v>
      </c>
      <c r="I1396" s="1">
        <f>+[2]일자별!I1396</f>
        <v>21</v>
      </c>
      <c r="J1396" s="116" t="s">
        <v>165</v>
      </c>
      <c r="K1396" s="6">
        <f>+[2]일자별!Q1396</f>
        <v>1</v>
      </c>
      <c r="L1396" s="6">
        <f>+[2]일자별!R1396</f>
        <v>88</v>
      </c>
      <c r="M1396" s="6">
        <f>+[2]일자별!S1396</f>
        <v>89</v>
      </c>
      <c r="N1396" s="366">
        <v>0.27868852459016391</v>
      </c>
      <c r="P1396" s="1">
        <v>23</v>
      </c>
    </row>
    <row r="1397" spans="1:16" ht="21.75" hidden="1" customHeight="1" x14ac:dyDescent="0.25">
      <c r="A1397" s="2">
        <v>2024</v>
      </c>
      <c r="B1397" s="2">
        <v>8</v>
      </c>
      <c r="C1397" s="2" t="s">
        <v>158</v>
      </c>
      <c r="D1397" s="3">
        <f t="shared" si="21"/>
        <v>45506</v>
      </c>
      <c r="E1397" s="7">
        <f>+[2]일자별!E1397</f>
        <v>477</v>
      </c>
      <c r="F1397" s="7" t="str">
        <f>+[2]일자별!F1397</f>
        <v>아샴</v>
      </c>
      <c r="G1397" s="7">
        <f>+[2]일자별!G1397</f>
        <v>42</v>
      </c>
      <c r="H1397" s="7">
        <f>+[2]일자별!H1397</f>
        <v>435</v>
      </c>
      <c r="I1397" s="1">
        <f>+[2]일자별!I1397</f>
        <v>22</v>
      </c>
      <c r="J1397" s="116" t="s">
        <v>165</v>
      </c>
      <c r="K1397" s="6">
        <f>+[2]일자별!Q1397</f>
        <v>9</v>
      </c>
      <c r="L1397" s="6">
        <f>+[2]일자별!R1397</f>
        <v>155</v>
      </c>
      <c r="M1397" s="6">
        <f>+[2]일자별!S1397</f>
        <v>164</v>
      </c>
      <c r="N1397" s="366">
        <v>0.27868852459016391</v>
      </c>
      <c r="P1397" s="1">
        <v>42</v>
      </c>
    </row>
    <row r="1398" spans="1:16" ht="21.75" hidden="1" customHeight="1" x14ac:dyDescent="0.25">
      <c r="A1398" s="2">
        <v>2024</v>
      </c>
      <c r="B1398" s="2">
        <v>8</v>
      </c>
      <c r="C1398" s="2" t="s">
        <v>159</v>
      </c>
      <c r="D1398" s="3">
        <f t="shared" si="21"/>
        <v>45507</v>
      </c>
      <c r="E1398" s="7">
        <f>+[2]일자별!E1398</f>
        <v>767</v>
      </c>
      <c r="F1398" s="7" t="str">
        <f>+[2]일자별!F1398</f>
        <v>아샴</v>
      </c>
      <c r="G1398" s="7">
        <f>+[2]일자별!G1398</f>
        <v>43</v>
      </c>
      <c r="H1398" s="7">
        <f>+[2]일자별!H1398</f>
        <v>724</v>
      </c>
      <c r="I1398" s="1">
        <f>+[2]일자별!I1398</f>
        <v>23</v>
      </c>
      <c r="J1398" s="116" t="s">
        <v>164</v>
      </c>
      <c r="K1398" s="6">
        <f>+[2]일자별!Q1398</f>
        <v>10</v>
      </c>
      <c r="L1398" s="6">
        <f>+[2]일자별!R1398</f>
        <v>332</v>
      </c>
      <c r="M1398" s="6">
        <f>+[2]일자별!S1398</f>
        <v>342</v>
      </c>
      <c r="N1398" s="366">
        <v>0.27868852459016391</v>
      </c>
      <c r="P1398" s="1">
        <v>43</v>
      </c>
    </row>
    <row r="1399" spans="1:16" ht="21.75" hidden="1" customHeight="1" x14ac:dyDescent="0.25">
      <c r="A1399" s="2">
        <v>2024</v>
      </c>
      <c r="B1399" s="2">
        <v>8</v>
      </c>
      <c r="C1399" s="2" t="s">
        <v>160</v>
      </c>
      <c r="D1399" s="3">
        <f t="shared" si="21"/>
        <v>45508</v>
      </c>
      <c r="E1399" s="7">
        <f>+[2]일자별!E1399</f>
        <v>703</v>
      </c>
      <c r="F1399" s="7" t="str">
        <f>+[2]일자별!F1399</f>
        <v>아샴</v>
      </c>
      <c r="G1399" s="7">
        <f>+[2]일자별!G1399</f>
        <v>32</v>
      </c>
      <c r="H1399" s="7">
        <f>+[2]일자별!H1399</f>
        <v>671</v>
      </c>
      <c r="I1399" s="1">
        <f>+[2]일자별!I1399</f>
        <v>24</v>
      </c>
      <c r="J1399" s="116" t="s">
        <v>164</v>
      </c>
      <c r="K1399" s="6">
        <f>+[2]일자별!Q1399</f>
        <v>9</v>
      </c>
      <c r="L1399" s="6">
        <f>+[2]일자별!R1399</f>
        <v>248</v>
      </c>
      <c r="M1399" s="6">
        <f>+[2]일자별!S1399</f>
        <v>257</v>
      </c>
      <c r="N1399" s="366">
        <v>0.27868852459016391</v>
      </c>
      <c r="P1399" s="1">
        <v>32</v>
      </c>
    </row>
    <row r="1400" spans="1:16" ht="21.75" hidden="1" customHeight="1" x14ac:dyDescent="0.25">
      <c r="A1400" s="2">
        <v>2024</v>
      </c>
      <c r="B1400" s="2">
        <v>8</v>
      </c>
      <c r="C1400" s="2" t="s">
        <v>161</v>
      </c>
      <c r="D1400" s="3">
        <f t="shared" si="21"/>
        <v>45509</v>
      </c>
      <c r="E1400" s="7">
        <f>+[2]일자별!E1400</f>
        <v>342</v>
      </c>
      <c r="F1400" s="7" t="str">
        <f>+[2]일자별!F1400</f>
        <v>아샴</v>
      </c>
      <c r="G1400" s="7">
        <f>+[2]일자별!G1400</f>
        <v>18</v>
      </c>
      <c r="H1400" s="7">
        <f>+[2]일자별!H1400</f>
        <v>324</v>
      </c>
      <c r="I1400" s="1">
        <f>+[2]일자별!I1400</f>
        <v>25</v>
      </c>
      <c r="J1400" s="116" t="s">
        <v>165</v>
      </c>
      <c r="K1400" s="6">
        <f>+[2]일자별!Q1400</f>
        <v>3</v>
      </c>
      <c r="L1400" s="6">
        <f>+[2]일자별!R1400</f>
        <v>110</v>
      </c>
      <c r="M1400" s="6">
        <f>+[2]일자별!S1400</f>
        <v>113</v>
      </c>
      <c r="N1400" s="366">
        <v>0.27868852459016391</v>
      </c>
      <c r="P1400" s="1">
        <v>18</v>
      </c>
    </row>
    <row r="1401" spans="1:16" ht="21.75" hidden="1" customHeight="1" x14ac:dyDescent="0.25">
      <c r="A1401" s="2">
        <v>2024</v>
      </c>
      <c r="B1401" s="2">
        <v>8</v>
      </c>
      <c r="C1401" s="2" t="s">
        <v>162</v>
      </c>
      <c r="D1401" s="3">
        <f t="shared" si="21"/>
        <v>45510</v>
      </c>
      <c r="E1401" s="7">
        <f>+[2]일자별!E1401</f>
        <v>338</v>
      </c>
      <c r="F1401" s="7" t="str">
        <f>+[2]일자별!F1401</f>
        <v>아샴</v>
      </c>
      <c r="G1401" s="7">
        <f>+[2]일자별!G1401</f>
        <v>20</v>
      </c>
      <c r="H1401" s="7">
        <f>+[2]일자별!H1401</f>
        <v>318</v>
      </c>
      <c r="I1401" s="1">
        <f>+[2]일자별!I1401</f>
        <v>26</v>
      </c>
      <c r="J1401" s="116" t="s">
        <v>165</v>
      </c>
      <c r="K1401" s="6">
        <f>+[2]일자별!Q1401</f>
        <v>3</v>
      </c>
      <c r="L1401" s="6">
        <f>+[2]일자별!R1401</f>
        <v>139</v>
      </c>
      <c r="M1401" s="6">
        <f>+[2]일자별!S1401</f>
        <v>142</v>
      </c>
      <c r="N1401" s="366">
        <v>0.27868852459016391</v>
      </c>
      <c r="P1401" s="1">
        <v>20</v>
      </c>
    </row>
    <row r="1402" spans="1:16" ht="21.75" hidden="1" customHeight="1" x14ac:dyDescent="0.25">
      <c r="A1402" s="2">
        <v>2024</v>
      </c>
      <c r="B1402" s="2">
        <v>8</v>
      </c>
      <c r="C1402" s="2" t="s">
        <v>163</v>
      </c>
      <c r="D1402" s="3">
        <f t="shared" si="21"/>
        <v>45511</v>
      </c>
      <c r="E1402" s="7">
        <f>+[2]일자별!E1402</f>
        <v>340</v>
      </c>
      <c r="F1402" s="7" t="str">
        <f>+[2]일자별!F1402</f>
        <v>아샴</v>
      </c>
      <c r="G1402" s="7">
        <f>+[2]일자별!G1402</f>
        <v>13</v>
      </c>
      <c r="H1402" s="7">
        <f>+[2]일자별!H1402</f>
        <v>327</v>
      </c>
      <c r="I1402" s="1">
        <f>+[2]일자별!I1402</f>
        <v>27</v>
      </c>
      <c r="J1402" s="116" t="s">
        <v>165</v>
      </c>
      <c r="K1402" s="6">
        <f>+[2]일자별!Q1402</f>
        <v>1</v>
      </c>
      <c r="L1402" s="6">
        <f>+[2]일자별!R1402</f>
        <v>132</v>
      </c>
      <c r="M1402" s="6">
        <f>+[2]일자별!S1402</f>
        <v>133</v>
      </c>
      <c r="N1402" s="366">
        <v>0.27868852459016391</v>
      </c>
      <c r="P1402" s="1">
        <v>13</v>
      </c>
    </row>
    <row r="1403" spans="1:16" ht="21.75" hidden="1" customHeight="1" x14ac:dyDescent="0.25">
      <c r="A1403" s="2">
        <v>2024</v>
      </c>
      <c r="B1403" s="2">
        <v>8</v>
      </c>
      <c r="C1403" s="2" t="s">
        <v>157</v>
      </c>
      <c r="D1403" s="3">
        <f t="shared" si="21"/>
        <v>45512</v>
      </c>
      <c r="E1403" s="7">
        <f>+[2]일자별!E1403</f>
        <v>381</v>
      </c>
      <c r="F1403" s="7" t="str">
        <f>+[2]일자별!F1403</f>
        <v>아샴</v>
      </c>
      <c r="G1403" s="7">
        <f>+[2]일자별!G1403</f>
        <v>24</v>
      </c>
      <c r="H1403" s="7">
        <f>+[2]일자별!H1403</f>
        <v>357</v>
      </c>
      <c r="I1403" s="1">
        <f>+[2]일자별!I1403</f>
        <v>28</v>
      </c>
      <c r="J1403" s="116" t="s">
        <v>165</v>
      </c>
      <c r="K1403" s="6">
        <f>+[2]일자별!Q1403</f>
        <v>0</v>
      </c>
      <c r="L1403" s="6">
        <f>+[2]일자별!R1403</f>
        <v>121</v>
      </c>
      <c r="M1403" s="6">
        <f>+[2]일자별!S1403</f>
        <v>121</v>
      </c>
      <c r="N1403" s="366">
        <v>0.27868852459016391</v>
      </c>
      <c r="P1403" s="1">
        <v>24</v>
      </c>
    </row>
    <row r="1404" spans="1:16" ht="21.75" hidden="1" customHeight="1" x14ac:dyDescent="0.25">
      <c r="A1404" s="2">
        <v>2024</v>
      </c>
      <c r="B1404" s="2">
        <v>8</v>
      </c>
      <c r="C1404" s="2" t="s">
        <v>158</v>
      </c>
      <c r="D1404" s="3">
        <f t="shared" si="21"/>
        <v>45513</v>
      </c>
      <c r="E1404" s="7">
        <f>+[2]일자별!E1404</f>
        <v>444</v>
      </c>
      <c r="F1404" s="7" t="str">
        <f>+[2]일자별!F1404</f>
        <v>아샴</v>
      </c>
      <c r="G1404" s="7">
        <f>+[2]일자별!G1404</f>
        <v>40</v>
      </c>
      <c r="H1404" s="7">
        <f>+[2]일자별!H1404</f>
        <v>404</v>
      </c>
      <c r="I1404" s="1">
        <f>+[2]일자별!I1404</f>
        <v>29</v>
      </c>
      <c r="J1404" s="116" t="s">
        <v>165</v>
      </c>
      <c r="K1404" s="6">
        <f>+[2]일자별!Q1404</f>
        <v>2</v>
      </c>
      <c r="L1404" s="6">
        <f>+[2]일자별!R1404</f>
        <v>164</v>
      </c>
      <c r="M1404" s="6">
        <f>+[2]일자별!S1404</f>
        <v>166</v>
      </c>
      <c r="N1404" s="366">
        <v>0.27868852459016391</v>
      </c>
      <c r="P1404" s="1">
        <v>40</v>
      </c>
    </row>
    <row r="1405" spans="1:16" ht="21.75" hidden="1" customHeight="1" x14ac:dyDescent="0.25">
      <c r="A1405" s="2">
        <v>2024</v>
      </c>
      <c r="B1405" s="2">
        <v>8</v>
      </c>
      <c r="C1405" s="2" t="s">
        <v>159</v>
      </c>
      <c r="D1405" s="3">
        <f t="shared" si="21"/>
        <v>45514</v>
      </c>
      <c r="E1405" s="7">
        <f>+[2]일자별!E1405</f>
        <v>970</v>
      </c>
      <c r="F1405" s="7" t="str">
        <f>+[2]일자별!F1405</f>
        <v>아샴</v>
      </c>
      <c r="G1405" s="7">
        <f>+[2]일자별!G1405</f>
        <v>52</v>
      </c>
      <c r="H1405" s="7">
        <f>+[2]일자별!H1405</f>
        <v>918</v>
      </c>
      <c r="I1405" s="1">
        <f>+[2]일자별!I1405</f>
        <v>30</v>
      </c>
      <c r="J1405" s="116" t="s">
        <v>164</v>
      </c>
      <c r="K1405" s="6">
        <f>+[2]일자별!Q1405</f>
        <v>4</v>
      </c>
      <c r="L1405" s="6">
        <f>+[2]일자별!R1405</f>
        <v>412</v>
      </c>
      <c r="M1405" s="6">
        <f>+[2]일자별!S1405</f>
        <v>416</v>
      </c>
      <c r="N1405" s="366">
        <v>0.27868852459016391</v>
      </c>
      <c r="P1405" s="1">
        <v>52</v>
      </c>
    </row>
    <row r="1406" spans="1:16" ht="21.75" hidden="1" customHeight="1" x14ac:dyDescent="0.25">
      <c r="A1406" s="2">
        <v>2024</v>
      </c>
      <c r="B1406" s="2">
        <v>8</v>
      </c>
      <c r="C1406" s="2" t="s">
        <v>160</v>
      </c>
      <c r="D1406" s="3">
        <f t="shared" si="21"/>
        <v>45515</v>
      </c>
      <c r="E1406" s="7">
        <f>+[2]일자별!E1406</f>
        <v>3015</v>
      </c>
      <c r="F1406" s="7" t="str">
        <f>+[2]일자별!F1406</f>
        <v>아샴</v>
      </c>
      <c r="G1406" s="7">
        <f>+[2]일자별!G1406</f>
        <v>41</v>
      </c>
      <c r="H1406" s="7">
        <f>+[2]일자별!H1406</f>
        <v>2974</v>
      </c>
      <c r="I1406" s="1">
        <f>+[2]일자별!I1406</f>
        <v>31</v>
      </c>
      <c r="J1406" s="116" t="s">
        <v>164</v>
      </c>
      <c r="K1406" s="6">
        <f>+[2]일자별!Q1406</f>
        <v>5</v>
      </c>
      <c r="L1406" s="6">
        <f>+[2]일자별!R1406</f>
        <v>2496</v>
      </c>
      <c r="M1406" s="6">
        <f>+[2]일자별!S1406</f>
        <v>2501</v>
      </c>
      <c r="N1406" s="366">
        <v>0.27868852459016391</v>
      </c>
      <c r="P1406" s="1">
        <v>41</v>
      </c>
    </row>
    <row r="1407" spans="1:16" ht="21.75" hidden="1" customHeight="1" x14ac:dyDescent="0.25">
      <c r="A1407" s="2">
        <v>2024</v>
      </c>
      <c r="B1407" s="2">
        <v>8</v>
      </c>
      <c r="C1407" s="2" t="s">
        <v>161</v>
      </c>
      <c r="D1407" s="3">
        <f t="shared" si="21"/>
        <v>45516</v>
      </c>
      <c r="E1407" s="7">
        <f>+[2]일자별!E1407</f>
        <v>234</v>
      </c>
      <c r="F1407" s="7" t="str">
        <f>+[2]일자별!F1407</f>
        <v>아샴</v>
      </c>
      <c r="G1407" s="7">
        <f>+[2]일자별!G1407</f>
        <v>6</v>
      </c>
      <c r="H1407" s="7">
        <f>+[2]일자별!H1407</f>
        <v>228</v>
      </c>
      <c r="I1407" s="1">
        <f>+[2]일자별!I1407</f>
        <v>32</v>
      </c>
      <c r="J1407" s="116" t="s">
        <v>165</v>
      </c>
      <c r="K1407" s="6">
        <f>+[2]일자별!Q1407</f>
        <v>3</v>
      </c>
      <c r="L1407" s="6">
        <f>+[2]일자별!R1407</f>
        <v>0</v>
      </c>
      <c r="M1407" s="6">
        <f>+[2]일자별!S1407</f>
        <v>3</v>
      </c>
      <c r="N1407" s="366">
        <v>0.27868852459016391</v>
      </c>
      <c r="P1407" s="1">
        <v>6</v>
      </c>
    </row>
    <row r="1408" spans="1:16" ht="21.75" hidden="1" customHeight="1" x14ac:dyDescent="0.25">
      <c r="A1408" s="2">
        <v>2024</v>
      </c>
      <c r="B1408" s="2">
        <v>8</v>
      </c>
      <c r="C1408" s="2" t="s">
        <v>162</v>
      </c>
      <c r="D1408" s="3">
        <f t="shared" si="21"/>
        <v>45517</v>
      </c>
      <c r="E1408" s="7">
        <f>+[2]일자별!E1408</f>
        <v>279</v>
      </c>
      <c r="F1408" s="7" t="str">
        <f>+[2]일자별!F1408</f>
        <v>아샴</v>
      </c>
      <c r="G1408" s="7">
        <f>+[2]일자별!G1408</f>
        <v>28</v>
      </c>
      <c r="H1408" s="7">
        <f>+[2]일자별!H1408</f>
        <v>251</v>
      </c>
      <c r="I1408" s="1">
        <f>+[2]일자별!I1408</f>
        <v>33</v>
      </c>
      <c r="J1408" s="116" t="s">
        <v>165</v>
      </c>
      <c r="K1408" s="6">
        <f>+[2]일자별!Q1408</f>
        <v>3</v>
      </c>
      <c r="L1408" s="6">
        <f>+[2]일자별!R1408</f>
        <v>0</v>
      </c>
      <c r="M1408" s="6">
        <f>+[2]일자별!S1408</f>
        <v>3</v>
      </c>
      <c r="N1408" s="366">
        <v>0.27868852459016391</v>
      </c>
      <c r="P1408" s="1">
        <v>28</v>
      </c>
    </row>
    <row r="1409" spans="1:16" ht="21.75" hidden="1" customHeight="1" x14ac:dyDescent="0.25">
      <c r="A1409" s="2">
        <v>2024</v>
      </c>
      <c r="B1409" s="2">
        <v>8</v>
      </c>
      <c r="C1409" s="2" t="s">
        <v>163</v>
      </c>
      <c r="D1409" s="3">
        <f t="shared" si="21"/>
        <v>45518</v>
      </c>
      <c r="E1409" s="7">
        <f>+[2]일자별!E1409</f>
        <v>266</v>
      </c>
      <c r="F1409" s="7" t="str">
        <f>+[2]일자별!F1409</f>
        <v>아샴</v>
      </c>
      <c r="G1409" s="7">
        <f>+[2]일자별!G1409</f>
        <v>25</v>
      </c>
      <c r="H1409" s="7">
        <f>+[2]일자별!H1409</f>
        <v>241</v>
      </c>
      <c r="I1409" s="1">
        <f>+[2]일자별!I1409</f>
        <v>34</v>
      </c>
      <c r="J1409" s="116" t="s">
        <v>165</v>
      </c>
      <c r="K1409" s="6">
        <f>+[2]일자별!Q1409</f>
        <v>3</v>
      </c>
      <c r="L1409" s="6">
        <f>+[2]일자별!R1409</f>
        <v>0</v>
      </c>
      <c r="M1409" s="6">
        <f>+[2]일자별!S1409</f>
        <v>3</v>
      </c>
      <c r="N1409" s="366">
        <v>0.27868852459016391</v>
      </c>
      <c r="P1409" s="1">
        <v>25</v>
      </c>
    </row>
    <row r="1410" spans="1:16" ht="21.75" hidden="1" customHeight="1" x14ac:dyDescent="0.25">
      <c r="A1410" s="2">
        <v>2024</v>
      </c>
      <c r="B1410" s="2">
        <v>8</v>
      </c>
      <c r="C1410" s="2" t="s">
        <v>157</v>
      </c>
      <c r="D1410" s="3">
        <f t="shared" si="21"/>
        <v>45519</v>
      </c>
      <c r="E1410" s="7">
        <f>+[2]일자별!E1410</f>
        <v>580</v>
      </c>
      <c r="F1410" s="7" t="str">
        <f>+[2]일자별!F1410</f>
        <v>아샴</v>
      </c>
      <c r="G1410" s="7">
        <f>+[2]일자별!G1410</f>
        <v>48</v>
      </c>
      <c r="H1410" s="7">
        <f>+[2]일자별!H1410</f>
        <v>532</v>
      </c>
      <c r="I1410" s="1">
        <f>+[2]일자별!I1410</f>
        <v>35</v>
      </c>
      <c r="J1410" s="116" t="s">
        <v>165</v>
      </c>
      <c r="K1410" s="6">
        <f>+[2]일자별!Q1410</f>
        <v>5</v>
      </c>
      <c r="L1410" s="6">
        <f>+[2]일자별!R1410</f>
        <v>0</v>
      </c>
      <c r="M1410" s="6">
        <f>+[2]일자별!S1410</f>
        <v>5</v>
      </c>
      <c r="N1410" s="366">
        <v>0.27868852459016391</v>
      </c>
      <c r="P1410" s="1">
        <v>48</v>
      </c>
    </row>
    <row r="1411" spans="1:16" ht="21.75" hidden="1" customHeight="1" x14ac:dyDescent="0.25">
      <c r="A1411" s="2">
        <v>2024</v>
      </c>
      <c r="B1411" s="2">
        <v>8</v>
      </c>
      <c r="C1411" s="2" t="s">
        <v>158</v>
      </c>
      <c r="D1411" s="3">
        <f t="shared" si="21"/>
        <v>45520</v>
      </c>
      <c r="E1411" s="7">
        <f>+[2]일자별!E1411</f>
        <v>299</v>
      </c>
      <c r="F1411" s="7" t="str">
        <f>+[2]일자별!F1411</f>
        <v>아샴</v>
      </c>
      <c r="G1411" s="7">
        <f>+[2]일자별!G1411</f>
        <v>22</v>
      </c>
      <c r="H1411" s="7">
        <f>+[2]일자별!H1411</f>
        <v>277</v>
      </c>
      <c r="I1411" s="1">
        <f>+[2]일자별!I1411</f>
        <v>36</v>
      </c>
      <c r="J1411" s="116" t="s">
        <v>165</v>
      </c>
      <c r="K1411" s="6">
        <f>+[2]일자별!Q1411</f>
        <v>1</v>
      </c>
      <c r="L1411" s="6">
        <f>+[2]일자별!R1411</f>
        <v>0</v>
      </c>
      <c r="M1411" s="6">
        <f>+[2]일자별!S1411</f>
        <v>1</v>
      </c>
      <c r="N1411" s="366">
        <v>0.27868852459016391</v>
      </c>
      <c r="P1411" s="1">
        <v>22</v>
      </c>
    </row>
    <row r="1412" spans="1:16" ht="21.75" hidden="1" customHeight="1" x14ac:dyDescent="0.25">
      <c r="A1412" s="2">
        <v>2024</v>
      </c>
      <c r="B1412" s="2">
        <v>8</v>
      </c>
      <c r="C1412" s="2" t="s">
        <v>159</v>
      </c>
      <c r="D1412" s="3">
        <f t="shared" si="21"/>
        <v>45521</v>
      </c>
      <c r="E1412" s="7">
        <f>+[2]일자별!E1412</f>
        <v>531</v>
      </c>
      <c r="F1412" s="7" t="str">
        <f>+[2]일자별!F1412</f>
        <v>아샴</v>
      </c>
      <c r="G1412" s="7">
        <f>+[2]일자별!G1412</f>
        <v>50</v>
      </c>
      <c r="H1412" s="7">
        <f>+[2]일자별!H1412</f>
        <v>481</v>
      </c>
      <c r="I1412" s="1">
        <f>+[2]일자별!I1412</f>
        <v>37</v>
      </c>
      <c r="J1412" s="116" t="s">
        <v>164</v>
      </c>
      <c r="K1412" s="6">
        <f>+[2]일자별!Q1412</f>
        <v>5</v>
      </c>
      <c r="L1412" s="6">
        <f>+[2]일자별!R1412</f>
        <v>0</v>
      </c>
      <c r="M1412" s="6">
        <f>+[2]일자별!S1412</f>
        <v>5</v>
      </c>
      <c r="N1412" s="366">
        <v>0.27868852459016391</v>
      </c>
      <c r="P1412" s="1">
        <v>50</v>
      </c>
    </row>
    <row r="1413" spans="1:16" ht="21.75" hidden="1" customHeight="1" x14ac:dyDescent="0.25">
      <c r="A1413" s="2">
        <v>2024</v>
      </c>
      <c r="B1413" s="2">
        <v>8</v>
      </c>
      <c r="C1413" s="2" t="s">
        <v>160</v>
      </c>
      <c r="D1413" s="3">
        <f t="shared" si="21"/>
        <v>45522</v>
      </c>
      <c r="E1413" s="7">
        <f>+[2]일자별!E1413</f>
        <v>413</v>
      </c>
      <c r="F1413" s="7" t="str">
        <f>+[2]일자별!F1413</f>
        <v>아샴</v>
      </c>
      <c r="G1413" s="7">
        <f>+[2]일자별!G1413</f>
        <v>40</v>
      </c>
      <c r="H1413" s="7">
        <f>+[2]일자별!H1413</f>
        <v>373</v>
      </c>
      <c r="I1413" s="1">
        <f>+[2]일자별!I1413</f>
        <v>38</v>
      </c>
      <c r="J1413" s="116" t="s">
        <v>164</v>
      </c>
      <c r="K1413" s="6">
        <f>+[2]일자별!Q1413</f>
        <v>5</v>
      </c>
      <c r="L1413" s="6">
        <f>+[2]일자별!R1413</f>
        <v>0</v>
      </c>
      <c r="M1413" s="6">
        <f>+[2]일자별!S1413</f>
        <v>5</v>
      </c>
      <c r="N1413" s="366">
        <v>0.27868852459016391</v>
      </c>
      <c r="P1413" s="1">
        <v>40</v>
      </c>
    </row>
    <row r="1414" spans="1:16" ht="21.75" hidden="1" customHeight="1" x14ac:dyDescent="0.25">
      <c r="A1414" s="2">
        <v>2024</v>
      </c>
      <c r="B1414" s="2">
        <v>8</v>
      </c>
      <c r="C1414" s="2" t="s">
        <v>161</v>
      </c>
      <c r="D1414" s="3">
        <f t="shared" si="21"/>
        <v>45523</v>
      </c>
      <c r="E1414" s="7">
        <f>+[2]일자별!E1414</f>
        <v>0</v>
      </c>
      <c r="F1414" s="7" t="str">
        <f>+[2]일자별!F1414</f>
        <v>아샴</v>
      </c>
      <c r="G1414" s="7">
        <f>+[2]일자별!G1414</f>
        <v>0</v>
      </c>
      <c r="H1414" s="7">
        <f>+[2]일자별!H1414</f>
        <v>0</v>
      </c>
      <c r="I1414" s="1">
        <f>+[2]일자별!I1414</f>
        <v>39</v>
      </c>
      <c r="J1414" s="116" t="s">
        <v>165</v>
      </c>
      <c r="K1414" s="6">
        <f>+[2]일자별!Q1414</f>
        <v>0</v>
      </c>
      <c r="L1414" s="6">
        <f>+[2]일자별!R1414</f>
        <v>0</v>
      </c>
      <c r="M1414" s="6">
        <f>+[2]일자별!S1414</f>
        <v>0</v>
      </c>
      <c r="N1414" s="366">
        <v>0.27868852459016391</v>
      </c>
      <c r="P1414" s="1">
        <v>21</v>
      </c>
    </row>
    <row r="1415" spans="1:16" ht="21.75" hidden="1" customHeight="1" x14ac:dyDescent="0.25">
      <c r="A1415" s="2">
        <v>2024</v>
      </c>
      <c r="B1415" s="2">
        <v>8</v>
      </c>
      <c r="C1415" s="2" t="s">
        <v>162</v>
      </c>
      <c r="D1415" s="3">
        <f t="shared" si="21"/>
        <v>45524</v>
      </c>
      <c r="E1415" s="7">
        <f>+[2]일자별!E1415</f>
        <v>212</v>
      </c>
      <c r="F1415" s="7" t="str">
        <f>+[2]일자별!F1415</f>
        <v>아샴</v>
      </c>
      <c r="G1415" s="7">
        <f>+[2]일자별!G1415</f>
        <v>21</v>
      </c>
      <c r="H1415" s="7">
        <f>+[2]일자별!H1415</f>
        <v>191</v>
      </c>
      <c r="I1415" s="1">
        <f>+[2]일자별!I1415</f>
        <v>40</v>
      </c>
      <c r="J1415" s="116" t="s">
        <v>165</v>
      </c>
      <c r="K1415" s="6">
        <f>+[2]일자별!Q1415</f>
        <v>4</v>
      </c>
      <c r="L1415" s="6">
        <f>+[2]일자별!R1415</f>
        <v>0</v>
      </c>
      <c r="M1415" s="6">
        <f>+[2]일자별!S1415</f>
        <v>4</v>
      </c>
      <c r="N1415" s="366">
        <v>0.27868852459016391</v>
      </c>
      <c r="P1415" s="1">
        <v>24</v>
      </c>
    </row>
    <row r="1416" spans="1:16" ht="21.75" hidden="1" customHeight="1" x14ac:dyDescent="0.25">
      <c r="A1416" s="2">
        <v>2024</v>
      </c>
      <c r="B1416" s="2">
        <v>8</v>
      </c>
      <c r="C1416" s="2" t="s">
        <v>163</v>
      </c>
      <c r="D1416" s="3">
        <f t="shared" si="21"/>
        <v>45525</v>
      </c>
      <c r="E1416" s="7">
        <f>+[2]일자별!E1416</f>
        <v>203</v>
      </c>
      <c r="F1416" s="7" t="str">
        <f>+[2]일자별!F1416</f>
        <v>아샴</v>
      </c>
      <c r="G1416" s="7">
        <f>+[2]일자별!G1416</f>
        <v>24</v>
      </c>
      <c r="H1416" s="7">
        <f>+[2]일자별!H1416</f>
        <v>179</v>
      </c>
      <c r="I1416" s="1">
        <f>+[2]일자별!I1416</f>
        <v>41</v>
      </c>
      <c r="J1416" s="116" t="s">
        <v>165</v>
      </c>
      <c r="K1416" s="6">
        <f>+[2]일자별!Q1416</f>
        <v>2</v>
      </c>
      <c r="L1416" s="6">
        <f>+[2]일자별!R1416</f>
        <v>0</v>
      </c>
      <c r="M1416" s="6">
        <f>+[2]일자별!S1416</f>
        <v>2</v>
      </c>
      <c r="N1416" s="366">
        <v>0.27868852459016391</v>
      </c>
      <c r="P1416" s="1">
        <v>24</v>
      </c>
    </row>
    <row r="1417" spans="1:16" ht="21.75" hidden="1" customHeight="1" x14ac:dyDescent="0.25">
      <c r="A1417" s="2">
        <v>2024</v>
      </c>
      <c r="B1417" s="2">
        <v>8</v>
      </c>
      <c r="C1417" s="2" t="s">
        <v>157</v>
      </c>
      <c r="D1417" s="3">
        <f t="shared" si="21"/>
        <v>45526</v>
      </c>
      <c r="E1417" s="7">
        <f>+[2]일자별!E1417</f>
        <v>223</v>
      </c>
      <c r="F1417" s="7" t="str">
        <f>+[2]일자별!F1417</f>
        <v>아샴</v>
      </c>
      <c r="G1417" s="7">
        <f>+[2]일자별!G1417</f>
        <v>24</v>
      </c>
      <c r="H1417" s="7">
        <f>+[2]일자별!H1417</f>
        <v>199</v>
      </c>
      <c r="I1417" s="1">
        <f>+[2]일자별!I1417</f>
        <v>42</v>
      </c>
      <c r="J1417" s="116" t="s">
        <v>165</v>
      </c>
      <c r="K1417" s="6">
        <f>+[2]일자별!Q1417</f>
        <v>2</v>
      </c>
      <c r="L1417" s="6">
        <f>+[2]일자별!R1417</f>
        <v>0</v>
      </c>
      <c r="M1417" s="6">
        <f>+[2]일자별!S1417</f>
        <v>2</v>
      </c>
      <c r="N1417" s="366">
        <v>0.27868852459016391</v>
      </c>
      <c r="P1417" s="1">
        <v>11</v>
      </c>
    </row>
    <row r="1418" spans="1:16" ht="21.75" hidden="1" customHeight="1" x14ac:dyDescent="0.25">
      <c r="A1418" s="2">
        <v>2024</v>
      </c>
      <c r="B1418" s="2">
        <v>8</v>
      </c>
      <c r="C1418" s="2" t="s">
        <v>158</v>
      </c>
      <c r="D1418" s="3">
        <f t="shared" si="21"/>
        <v>45527</v>
      </c>
      <c r="E1418" s="7">
        <f>+[2]일자별!E1418</f>
        <v>213</v>
      </c>
      <c r="F1418" s="7" t="str">
        <f>+[2]일자별!F1418</f>
        <v>아샴</v>
      </c>
      <c r="G1418" s="7">
        <f>+[2]일자별!G1418</f>
        <v>11</v>
      </c>
      <c r="H1418" s="7">
        <f>+[2]일자별!H1418</f>
        <v>202</v>
      </c>
      <c r="I1418" s="1">
        <f>+[2]일자별!I1418</f>
        <v>43</v>
      </c>
      <c r="J1418" s="116" t="s">
        <v>165</v>
      </c>
      <c r="K1418" s="6">
        <f>+[2]일자별!Q1418</f>
        <v>8</v>
      </c>
      <c r="L1418" s="6">
        <f>+[2]일자별!R1418</f>
        <v>0</v>
      </c>
      <c r="M1418" s="6">
        <f>+[2]일자별!S1418</f>
        <v>8</v>
      </c>
      <c r="N1418" s="366">
        <v>0.27868852459016391</v>
      </c>
      <c r="P1418" s="1">
        <v>76</v>
      </c>
    </row>
    <row r="1419" spans="1:16" ht="21.75" hidden="1" customHeight="1" x14ac:dyDescent="0.25">
      <c r="A1419" s="2">
        <v>2024</v>
      </c>
      <c r="B1419" s="2">
        <v>8</v>
      </c>
      <c r="C1419" s="2" t="s">
        <v>159</v>
      </c>
      <c r="D1419" s="3">
        <f t="shared" si="21"/>
        <v>45528</v>
      </c>
      <c r="E1419" s="7">
        <f>+[2]일자별!E1419</f>
        <v>527</v>
      </c>
      <c r="F1419" s="7" t="str">
        <f>+[2]일자별!F1419</f>
        <v>아샴</v>
      </c>
      <c r="G1419" s="7">
        <f>+[2]일자별!G1419</f>
        <v>76</v>
      </c>
      <c r="H1419" s="7">
        <f>+[2]일자별!H1419</f>
        <v>451</v>
      </c>
      <c r="I1419" s="1">
        <f>+[2]일자별!I1419</f>
        <v>44</v>
      </c>
      <c r="J1419" s="116" t="s">
        <v>164</v>
      </c>
      <c r="K1419" s="6">
        <f>+[2]일자별!Q1419</f>
        <v>8</v>
      </c>
      <c r="L1419" s="6">
        <f>+[2]일자별!R1419</f>
        <v>0</v>
      </c>
      <c r="M1419" s="6">
        <f>+[2]일자별!S1419</f>
        <v>8</v>
      </c>
      <c r="N1419" s="366">
        <v>0.27868852459016391</v>
      </c>
      <c r="P1419" s="1">
        <v>53</v>
      </c>
    </row>
    <row r="1420" spans="1:16" ht="21.75" hidden="1" customHeight="1" x14ac:dyDescent="0.25">
      <c r="A1420" s="2">
        <v>2024</v>
      </c>
      <c r="B1420" s="2">
        <v>8</v>
      </c>
      <c r="C1420" s="2" t="s">
        <v>160</v>
      </c>
      <c r="D1420" s="3">
        <f t="shared" si="21"/>
        <v>45529</v>
      </c>
      <c r="E1420" s="7">
        <f>+[2]일자별!E1420</f>
        <v>416</v>
      </c>
      <c r="F1420" s="7" t="str">
        <f>+[2]일자별!F1420</f>
        <v>아샴</v>
      </c>
      <c r="G1420" s="7">
        <f>+[2]일자별!G1420</f>
        <v>53</v>
      </c>
      <c r="H1420" s="7">
        <f>+[2]일자별!H1420</f>
        <v>363</v>
      </c>
      <c r="I1420" s="1">
        <f>+[2]일자별!I1420</f>
        <v>45</v>
      </c>
      <c r="J1420" s="116" t="s">
        <v>164</v>
      </c>
      <c r="K1420" s="6">
        <f>+[2]일자별!Q1420</f>
        <v>2</v>
      </c>
      <c r="L1420" s="6">
        <f>+[2]일자별!R1420</f>
        <v>0</v>
      </c>
      <c r="M1420" s="6">
        <f>+[2]일자별!S1420</f>
        <v>2</v>
      </c>
      <c r="N1420" s="366">
        <v>0.27868852459016391</v>
      </c>
      <c r="P1420" s="1">
        <v>16</v>
      </c>
    </row>
    <row r="1421" spans="1:16" ht="21.75" hidden="1" customHeight="1" x14ac:dyDescent="0.25">
      <c r="A1421" s="2">
        <v>2024</v>
      </c>
      <c r="B1421" s="2">
        <v>8</v>
      </c>
      <c r="C1421" s="2" t="s">
        <v>161</v>
      </c>
      <c r="D1421" s="3">
        <f t="shared" si="21"/>
        <v>45530</v>
      </c>
      <c r="E1421" s="7">
        <f>+[2]일자별!E1421</f>
        <v>174</v>
      </c>
      <c r="F1421" s="7" t="str">
        <f>+[2]일자별!F1421</f>
        <v>아샴</v>
      </c>
      <c r="G1421" s="7">
        <f>+[2]일자별!G1421</f>
        <v>16</v>
      </c>
      <c r="H1421" s="7">
        <f>+[2]일자별!H1421</f>
        <v>158</v>
      </c>
      <c r="I1421" s="1">
        <f>+[2]일자별!I1421</f>
        <v>46</v>
      </c>
      <c r="J1421" s="116" t="s">
        <v>165</v>
      </c>
      <c r="K1421" s="6">
        <f>+[2]일자별!Q1421</f>
        <v>2</v>
      </c>
      <c r="L1421" s="6">
        <f>+[2]일자별!R1421</f>
        <v>0</v>
      </c>
      <c r="M1421" s="6">
        <f>+[2]일자별!S1421</f>
        <v>2</v>
      </c>
      <c r="N1421" s="366">
        <v>0.27868852459016391</v>
      </c>
      <c r="P1421" s="1">
        <v>8</v>
      </c>
    </row>
    <row r="1422" spans="1:16" ht="21.75" hidden="1" customHeight="1" x14ac:dyDescent="0.25">
      <c r="A1422" s="2">
        <v>2024</v>
      </c>
      <c r="B1422" s="2">
        <v>8</v>
      </c>
      <c r="C1422" s="2" t="s">
        <v>162</v>
      </c>
      <c r="D1422" s="3">
        <f t="shared" si="21"/>
        <v>45531</v>
      </c>
      <c r="E1422" s="7">
        <f>+[2]일자별!E1422</f>
        <v>159</v>
      </c>
      <c r="F1422" s="7" t="str">
        <f>+[2]일자별!F1422</f>
        <v>아샴</v>
      </c>
      <c r="G1422" s="7">
        <f>+[2]일자별!G1422</f>
        <v>8</v>
      </c>
      <c r="H1422" s="7">
        <f>+[2]일자별!H1422</f>
        <v>151</v>
      </c>
      <c r="I1422" s="1">
        <f>+[2]일자별!I1422</f>
        <v>47</v>
      </c>
      <c r="J1422" s="116" t="s">
        <v>165</v>
      </c>
      <c r="K1422" s="6">
        <f>+[2]일자별!Q1422</f>
        <v>4</v>
      </c>
      <c r="L1422" s="6">
        <f>+[2]일자별!R1422</f>
        <v>0</v>
      </c>
      <c r="M1422" s="6">
        <f>+[2]일자별!S1422</f>
        <v>4</v>
      </c>
      <c r="N1422" s="366">
        <v>0.27868852459016391</v>
      </c>
      <c r="P1422" s="1">
        <v>19</v>
      </c>
    </row>
    <row r="1423" spans="1:16" ht="21.75" hidden="1" customHeight="1" x14ac:dyDescent="0.25">
      <c r="A1423" s="2">
        <v>2024</v>
      </c>
      <c r="B1423" s="2">
        <v>8</v>
      </c>
      <c r="C1423" s="2" t="s">
        <v>163</v>
      </c>
      <c r="D1423" s="3">
        <f t="shared" si="21"/>
        <v>45532</v>
      </c>
      <c r="E1423" s="7">
        <f>+[2]일자별!E1423</f>
        <v>286</v>
      </c>
      <c r="F1423" s="7" t="str">
        <f>+[2]일자별!F1423</f>
        <v>아샴</v>
      </c>
      <c r="G1423" s="7">
        <f>+[2]일자별!G1423</f>
        <v>19</v>
      </c>
      <c r="H1423" s="7">
        <f>+[2]일자별!H1423</f>
        <v>267</v>
      </c>
      <c r="I1423" s="1">
        <f>+[2]일자별!I1423</f>
        <v>48</v>
      </c>
      <c r="J1423" s="116" t="s">
        <v>165</v>
      </c>
      <c r="K1423" s="6">
        <f>+[2]일자별!Q1423</f>
        <v>2</v>
      </c>
      <c r="L1423" s="6">
        <f>+[2]일자별!R1423</f>
        <v>0</v>
      </c>
      <c r="M1423" s="6">
        <f>+[2]일자별!S1423</f>
        <v>2</v>
      </c>
      <c r="N1423" s="366">
        <v>0.27868852459016391</v>
      </c>
      <c r="P1423" s="1">
        <v>25</v>
      </c>
    </row>
    <row r="1424" spans="1:16" ht="21.75" hidden="1" customHeight="1" x14ac:dyDescent="0.25">
      <c r="A1424" s="2">
        <v>2024</v>
      </c>
      <c r="B1424" s="2">
        <v>8</v>
      </c>
      <c r="C1424" s="2" t="s">
        <v>157</v>
      </c>
      <c r="D1424" s="3">
        <f t="shared" si="21"/>
        <v>45533</v>
      </c>
      <c r="E1424" s="7">
        <f>+[2]일자별!E1424</f>
        <v>178</v>
      </c>
      <c r="F1424" s="7" t="str">
        <f>+[2]일자별!F1424</f>
        <v>아샴</v>
      </c>
      <c r="G1424" s="7">
        <f>+[2]일자별!G1424</f>
        <v>25</v>
      </c>
      <c r="H1424" s="7">
        <f>+[2]일자별!H1424</f>
        <v>153</v>
      </c>
      <c r="I1424" s="1">
        <f>+[2]일자별!I1424</f>
        <v>49</v>
      </c>
      <c r="J1424" s="116" t="s">
        <v>165</v>
      </c>
      <c r="K1424" s="6">
        <f>+[2]일자별!Q1424</f>
        <v>1</v>
      </c>
      <c r="L1424" s="6">
        <f>+[2]일자별!R1424</f>
        <v>0</v>
      </c>
      <c r="M1424" s="6">
        <f>+[2]일자별!S1424</f>
        <v>1</v>
      </c>
      <c r="N1424" s="366">
        <v>0.27868852459016391</v>
      </c>
      <c r="P1424" s="1">
        <v>67</v>
      </c>
    </row>
    <row r="1425" spans="1:16" ht="21.75" hidden="1" customHeight="1" x14ac:dyDescent="0.25">
      <c r="A1425" s="2">
        <v>2024</v>
      </c>
      <c r="B1425" s="2">
        <v>8</v>
      </c>
      <c r="C1425" s="2" t="s">
        <v>158</v>
      </c>
      <c r="D1425" s="3">
        <f t="shared" si="21"/>
        <v>45534</v>
      </c>
      <c r="E1425" s="7">
        <f>+[2]일자별!E1425</f>
        <v>287</v>
      </c>
      <c r="F1425" s="7" t="str">
        <f>+[2]일자별!F1425</f>
        <v>아샴</v>
      </c>
      <c r="G1425" s="7">
        <f>+[2]일자별!G1425</f>
        <v>67</v>
      </c>
      <c r="H1425" s="7">
        <f>+[2]일자별!H1425</f>
        <v>220</v>
      </c>
      <c r="I1425" s="1">
        <f>+[2]일자별!I1425</f>
        <v>50</v>
      </c>
      <c r="J1425" s="116" t="s">
        <v>165</v>
      </c>
      <c r="K1425" s="6">
        <f>+[2]일자별!Q1425</f>
        <v>1</v>
      </c>
      <c r="L1425" s="6">
        <f>+[2]일자별!R1425</f>
        <v>0</v>
      </c>
      <c r="M1425" s="6">
        <f>+[2]일자별!S1425</f>
        <v>1</v>
      </c>
      <c r="N1425" s="366">
        <v>0.27868852459016391</v>
      </c>
      <c r="P1425" s="1">
        <v>54</v>
      </c>
    </row>
    <row r="1426" spans="1:16" ht="21.75" hidden="1" customHeight="1" x14ac:dyDescent="0.25">
      <c r="A1426" s="2">
        <v>2024</v>
      </c>
      <c r="B1426" s="2">
        <v>8</v>
      </c>
      <c r="C1426" s="2" t="s">
        <v>159</v>
      </c>
      <c r="D1426" s="3">
        <f t="shared" si="21"/>
        <v>45535</v>
      </c>
      <c r="E1426" s="7">
        <f>+[2]일자별!E1426</f>
        <v>436</v>
      </c>
      <c r="F1426" s="7" t="str">
        <f>+[2]일자별!F1426</f>
        <v>아샴</v>
      </c>
      <c r="G1426" s="7">
        <f>+[2]일자별!G1426</f>
        <v>54</v>
      </c>
      <c r="H1426" s="7">
        <f>+[2]일자별!H1426</f>
        <v>382</v>
      </c>
      <c r="I1426" s="1">
        <f>+[2]일자별!I1426</f>
        <v>51</v>
      </c>
      <c r="J1426" s="116" t="s">
        <v>164</v>
      </c>
      <c r="K1426" s="6">
        <f>+[2]일자별!Q1426</f>
        <v>5</v>
      </c>
      <c r="L1426" s="6">
        <f>+[2]일자별!R1426</f>
        <v>0</v>
      </c>
      <c r="M1426" s="6">
        <f>+[2]일자별!S1426</f>
        <v>5</v>
      </c>
      <c r="N1426" s="366">
        <v>0.27868852459016391</v>
      </c>
      <c r="P1426" s="1">
        <v>37</v>
      </c>
    </row>
    <row r="1427" spans="1:16" ht="21.75" hidden="1" customHeight="1" x14ac:dyDescent="0.25">
      <c r="A1427" s="2">
        <v>2024</v>
      </c>
      <c r="B1427" s="2">
        <v>9</v>
      </c>
      <c r="C1427" s="2" t="s">
        <v>160</v>
      </c>
      <c r="D1427" s="3">
        <f t="shared" si="21"/>
        <v>45536</v>
      </c>
      <c r="E1427" s="7">
        <f>+[2]일자별!E1427</f>
        <v>357</v>
      </c>
      <c r="F1427" s="7" t="str">
        <f>+[2]일자별!F1427</f>
        <v>아샴</v>
      </c>
      <c r="G1427" s="7">
        <f>+[2]일자별!G1427</f>
        <v>37</v>
      </c>
      <c r="H1427" s="7">
        <f>+[2]일자별!H1427</f>
        <v>320</v>
      </c>
      <c r="I1427" s="1">
        <f>+[2]일자별!I1427</f>
        <v>52</v>
      </c>
      <c r="J1427" s="116" t="s">
        <v>164</v>
      </c>
      <c r="K1427" s="6">
        <f>+[2]일자별!Q1427</f>
        <v>0</v>
      </c>
      <c r="L1427" s="6">
        <f>+[2]일자별!R1427</f>
        <v>0</v>
      </c>
      <c r="M1427" s="6">
        <f>+[2]일자별!S1427</f>
        <v>0</v>
      </c>
      <c r="N1427" s="366">
        <v>0.27868852459016391</v>
      </c>
      <c r="P1427" s="1">
        <v>15</v>
      </c>
    </row>
    <row r="1428" spans="1:16" ht="21.75" hidden="1" customHeight="1" x14ac:dyDescent="0.25">
      <c r="A1428" s="2">
        <v>2024</v>
      </c>
      <c r="B1428" s="2">
        <v>9</v>
      </c>
      <c r="C1428" s="2" t="s">
        <v>161</v>
      </c>
      <c r="D1428" s="3">
        <f t="shared" si="21"/>
        <v>45537</v>
      </c>
      <c r="E1428" s="7">
        <f>+[2]일자별!E1428</f>
        <v>135</v>
      </c>
      <c r="F1428" s="7" t="str">
        <f>+[2]일자별!F1428</f>
        <v>아샴</v>
      </c>
      <c r="G1428" s="7">
        <f>+[2]일자별!G1428</f>
        <v>15</v>
      </c>
      <c r="H1428" s="7">
        <f>+[2]일자별!H1428</f>
        <v>120</v>
      </c>
      <c r="I1428" s="1">
        <f>+[2]일자별!I1428</f>
        <v>53</v>
      </c>
      <c r="J1428" s="116" t="s">
        <v>165</v>
      </c>
      <c r="K1428" s="6">
        <f>+[2]일자별!Q1428</f>
        <v>0</v>
      </c>
      <c r="L1428" s="6">
        <f>+[2]일자별!R1428</f>
        <v>0</v>
      </c>
      <c r="M1428" s="6">
        <f>+[2]일자별!S1428</f>
        <v>0</v>
      </c>
      <c r="N1428" s="366">
        <v>0.27868852459016391</v>
      </c>
      <c r="P1428" s="1">
        <v>18</v>
      </c>
    </row>
    <row r="1429" spans="1:16" ht="21.75" hidden="1" customHeight="1" x14ac:dyDescent="0.25">
      <c r="A1429" s="2">
        <v>2024</v>
      </c>
      <c r="B1429" s="2">
        <v>9</v>
      </c>
      <c r="C1429" s="2" t="s">
        <v>162</v>
      </c>
      <c r="D1429" s="3">
        <f t="shared" si="21"/>
        <v>45538</v>
      </c>
      <c r="E1429" s="7">
        <f>+[2]일자별!E1429</f>
        <v>267</v>
      </c>
      <c r="F1429" s="7" t="str">
        <f>+[2]일자별!F1429</f>
        <v>아샴</v>
      </c>
      <c r="G1429" s="7">
        <f>+[2]일자별!G1429</f>
        <v>18</v>
      </c>
      <c r="H1429" s="7">
        <f>+[2]일자별!H1429</f>
        <v>249</v>
      </c>
      <c r="I1429" s="1">
        <f>+[2]일자별!I1429</f>
        <v>54</v>
      </c>
      <c r="J1429" s="116" t="s">
        <v>165</v>
      </c>
      <c r="K1429" s="6">
        <f>+[2]일자별!Q1429</f>
        <v>1</v>
      </c>
      <c r="L1429" s="6">
        <f>+[2]일자별!R1429</f>
        <v>0</v>
      </c>
      <c r="M1429" s="6">
        <f>+[2]일자별!S1429</f>
        <v>1</v>
      </c>
      <c r="N1429" s="366">
        <v>0.27868852459016391</v>
      </c>
      <c r="P1429" s="1">
        <v>11</v>
      </c>
    </row>
    <row r="1430" spans="1:16" ht="21.75" hidden="1" customHeight="1" x14ac:dyDescent="0.25">
      <c r="A1430" s="2">
        <v>2024</v>
      </c>
      <c r="B1430" s="2">
        <v>9</v>
      </c>
      <c r="C1430" s="2" t="s">
        <v>163</v>
      </c>
      <c r="D1430" s="3">
        <f t="shared" si="21"/>
        <v>45539</v>
      </c>
      <c r="E1430" s="7">
        <f>+[2]일자별!E1430</f>
        <v>148</v>
      </c>
      <c r="F1430" s="7" t="str">
        <f>+[2]일자별!F1430</f>
        <v>아샴</v>
      </c>
      <c r="G1430" s="7">
        <f>+[2]일자별!G1430</f>
        <v>11</v>
      </c>
      <c r="H1430" s="7">
        <f>+[2]일자별!H1430</f>
        <v>137</v>
      </c>
      <c r="I1430" s="1">
        <f>+[2]일자별!I1430</f>
        <v>55</v>
      </c>
      <c r="J1430" s="116" t="s">
        <v>165</v>
      </c>
      <c r="K1430" s="6">
        <f>+[2]일자별!Q1430</f>
        <v>2</v>
      </c>
      <c r="L1430" s="6">
        <f>+[2]일자별!R1430</f>
        <v>0</v>
      </c>
      <c r="M1430" s="6">
        <f>+[2]일자별!S1430</f>
        <v>2</v>
      </c>
      <c r="N1430" s="366">
        <v>0.27868852459016391</v>
      </c>
      <c r="P1430" s="1">
        <v>38</v>
      </c>
    </row>
    <row r="1431" spans="1:16" ht="21.75" hidden="1" customHeight="1" x14ac:dyDescent="0.25">
      <c r="A1431" s="2">
        <v>2024</v>
      </c>
      <c r="B1431" s="2">
        <v>9</v>
      </c>
      <c r="C1431" s="2" t="s">
        <v>157</v>
      </c>
      <c r="D1431" s="3">
        <f t="shared" si="21"/>
        <v>45540</v>
      </c>
      <c r="E1431" s="7">
        <f>+[2]일자별!E1431</f>
        <v>182</v>
      </c>
      <c r="F1431" s="7" t="str">
        <f>+[2]일자별!F1431</f>
        <v>아샴</v>
      </c>
      <c r="G1431" s="7">
        <f>+[2]일자별!G1431</f>
        <v>38</v>
      </c>
      <c r="H1431" s="7">
        <f>+[2]일자별!H1431</f>
        <v>144</v>
      </c>
      <c r="I1431" s="1">
        <f>+[2]일자별!I1431</f>
        <v>56</v>
      </c>
      <c r="J1431" s="116" t="s">
        <v>165</v>
      </c>
      <c r="K1431" s="6">
        <f>+[2]일자별!Q1431</f>
        <v>1</v>
      </c>
      <c r="L1431" s="6">
        <f>+[2]일자별!R1431</f>
        <v>0</v>
      </c>
      <c r="M1431" s="6">
        <f>+[2]일자별!S1431</f>
        <v>1</v>
      </c>
      <c r="N1431" s="366">
        <v>0.27868852459016391</v>
      </c>
      <c r="P1431" s="1">
        <v>17</v>
      </c>
    </row>
    <row r="1432" spans="1:16" ht="21.75" hidden="1" customHeight="1" x14ac:dyDescent="0.25">
      <c r="A1432" s="2">
        <v>2024</v>
      </c>
      <c r="B1432" s="2">
        <v>9</v>
      </c>
      <c r="C1432" s="2" t="s">
        <v>158</v>
      </c>
      <c r="D1432" s="3">
        <f t="shared" si="21"/>
        <v>45541</v>
      </c>
      <c r="E1432" s="7">
        <f>+[2]일자별!E1432</f>
        <v>397</v>
      </c>
      <c r="F1432" s="7" t="str">
        <f>+[2]일자별!F1432</f>
        <v>아샴</v>
      </c>
      <c r="G1432" s="7">
        <f>+[2]일자별!G1432</f>
        <v>17</v>
      </c>
      <c r="H1432" s="7">
        <f>+[2]일자별!H1432</f>
        <v>380</v>
      </c>
      <c r="I1432" s="1">
        <f>+[2]일자별!I1432</f>
        <v>57</v>
      </c>
      <c r="J1432" s="116" t="s">
        <v>165</v>
      </c>
      <c r="K1432" s="6">
        <f>+[2]일자별!Q1432</f>
        <v>1</v>
      </c>
      <c r="L1432" s="6">
        <f>+[2]일자별!R1432</f>
        <v>0</v>
      </c>
      <c r="M1432" s="6">
        <f>+[2]일자별!S1432</f>
        <v>1</v>
      </c>
      <c r="N1432" s="366">
        <v>0.27868852459016391</v>
      </c>
      <c r="P1432" s="1">
        <v>71</v>
      </c>
    </row>
    <row r="1433" spans="1:16" ht="21.75" hidden="1" customHeight="1" x14ac:dyDescent="0.25">
      <c r="A1433" s="2">
        <v>2024</v>
      </c>
      <c r="B1433" s="2">
        <v>9</v>
      </c>
      <c r="C1433" s="2" t="s">
        <v>159</v>
      </c>
      <c r="D1433" s="3">
        <f t="shared" si="21"/>
        <v>45542</v>
      </c>
      <c r="E1433" s="7">
        <f>+[2]일자별!E1433</f>
        <v>415</v>
      </c>
      <c r="F1433" s="7" t="str">
        <f>+[2]일자별!F1433</f>
        <v>아샴</v>
      </c>
      <c r="G1433" s="7">
        <f>+[2]일자별!G1433</f>
        <v>71</v>
      </c>
      <c r="H1433" s="7">
        <f>+[2]일자별!H1433</f>
        <v>344</v>
      </c>
      <c r="I1433" s="1">
        <f>+[2]일자별!I1433</f>
        <v>58</v>
      </c>
      <c r="J1433" s="116" t="s">
        <v>164</v>
      </c>
      <c r="K1433" s="6">
        <f>+[2]일자별!Q1433</f>
        <v>4</v>
      </c>
      <c r="L1433" s="6">
        <f>+[2]일자별!R1433</f>
        <v>0</v>
      </c>
      <c r="M1433" s="6">
        <f>+[2]일자별!S1433</f>
        <v>4</v>
      </c>
      <c r="N1433" s="366">
        <v>0.27868852459016391</v>
      </c>
      <c r="P1433" s="1">
        <v>44</v>
      </c>
    </row>
    <row r="1434" spans="1:16" ht="21.75" hidden="1" customHeight="1" x14ac:dyDescent="0.25">
      <c r="A1434" s="2">
        <v>2024</v>
      </c>
      <c r="B1434" s="2">
        <v>9</v>
      </c>
      <c r="C1434" s="2" t="s">
        <v>160</v>
      </c>
      <c r="D1434" s="3">
        <f t="shared" si="21"/>
        <v>45543</v>
      </c>
      <c r="E1434" s="7">
        <f>+[2]일자별!E1434</f>
        <v>362</v>
      </c>
      <c r="F1434" s="7" t="str">
        <f>+[2]일자별!F1434</f>
        <v>아샴</v>
      </c>
      <c r="G1434" s="7">
        <f>+[2]일자별!G1434</f>
        <v>44</v>
      </c>
      <c r="H1434" s="7">
        <f>+[2]일자별!H1434</f>
        <v>318</v>
      </c>
      <c r="I1434" s="1">
        <f>+[2]일자별!I1434</f>
        <v>59</v>
      </c>
      <c r="J1434" s="116" t="s">
        <v>164</v>
      </c>
      <c r="K1434" s="6">
        <f>+[2]일자별!Q1434</f>
        <v>7</v>
      </c>
      <c r="L1434" s="6">
        <f>+[2]일자별!R1434</f>
        <v>0</v>
      </c>
      <c r="M1434" s="6">
        <f>+[2]일자별!S1434</f>
        <v>7</v>
      </c>
      <c r="N1434" s="366">
        <v>0.27868852459016391</v>
      </c>
      <c r="P1434" s="1">
        <v>16</v>
      </c>
    </row>
    <row r="1435" spans="1:16" ht="21.75" hidden="1" customHeight="1" x14ac:dyDescent="0.25">
      <c r="A1435" s="2">
        <v>2024</v>
      </c>
      <c r="B1435" s="2">
        <v>9</v>
      </c>
      <c r="C1435" s="2" t="s">
        <v>161</v>
      </c>
      <c r="D1435" s="3">
        <f t="shared" si="21"/>
        <v>45544</v>
      </c>
      <c r="E1435" s="7">
        <f>+[2]일자별!E1435</f>
        <v>182</v>
      </c>
      <c r="F1435" s="7" t="str">
        <f>+[2]일자별!F1435</f>
        <v>아샴</v>
      </c>
      <c r="G1435" s="7">
        <f>+[2]일자별!G1435</f>
        <v>16</v>
      </c>
      <c r="H1435" s="7">
        <f>+[2]일자별!H1435</f>
        <v>166</v>
      </c>
      <c r="I1435" s="1">
        <f>+[2]일자별!I1435</f>
        <v>60</v>
      </c>
      <c r="J1435" s="116" t="s">
        <v>165</v>
      </c>
      <c r="K1435" s="6">
        <f>+[2]일자별!Q1435</f>
        <v>3</v>
      </c>
      <c r="L1435" s="6">
        <f>+[2]일자별!R1435</f>
        <v>0</v>
      </c>
      <c r="M1435" s="6">
        <f>+[2]일자별!S1435</f>
        <v>3</v>
      </c>
      <c r="N1435" s="366">
        <v>0.27868852459016391</v>
      </c>
      <c r="P1435" s="1">
        <v>13</v>
      </c>
    </row>
    <row r="1436" spans="1:16" ht="21.75" hidden="1" customHeight="1" x14ac:dyDescent="0.25">
      <c r="A1436" s="2">
        <v>2024</v>
      </c>
      <c r="B1436" s="2">
        <v>9</v>
      </c>
      <c r="C1436" s="2" t="s">
        <v>162</v>
      </c>
      <c r="D1436" s="3">
        <f t="shared" si="21"/>
        <v>45545</v>
      </c>
      <c r="E1436" s="7">
        <f>+[2]일자별!E1436</f>
        <v>117</v>
      </c>
      <c r="F1436" s="7" t="str">
        <f>+[2]일자별!F1436</f>
        <v>아샴</v>
      </c>
      <c r="G1436" s="7">
        <f>+[2]일자별!G1436</f>
        <v>13</v>
      </c>
      <c r="H1436" s="7">
        <f>+[2]일자별!H1436</f>
        <v>104</v>
      </c>
      <c r="I1436" s="1">
        <f>+[2]일자별!I1436</f>
        <v>61</v>
      </c>
      <c r="J1436" s="116" t="s">
        <v>165</v>
      </c>
      <c r="K1436" s="6">
        <f>+[2]일자별!Q1436</f>
        <v>6</v>
      </c>
      <c r="L1436" s="6">
        <f>+[2]일자별!R1436</f>
        <v>0</v>
      </c>
      <c r="M1436" s="6">
        <f>+[2]일자별!S1436</f>
        <v>6</v>
      </c>
      <c r="N1436" s="366">
        <v>0.27868852459016391</v>
      </c>
      <c r="P1436" s="1">
        <v>15</v>
      </c>
    </row>
    <row r="1437" spans="1:16" ht="21.75" hidden="1" customHeight="1" x14ac:dyDescent="0.25">
      <c r="A1437" s="2">
        <v>2024</v>
      </c>
      <c r="B1437" s="2">
        <v>9</v>
      </c>
      <c r="C1437" s="2" t="s">
        <v>163</v>
      </c>
      <c r="D1437" s="3">
        <f t="shared" si="21"/>
        <v>45546</v>
      </c>
      <c r="E1437" s="7">
        <f>+[2]일자별!E1437</f>
        <v>247</v>
      </c>
      <c r="F1437" s="7" t="str">
        <f>+[2]일자별!F1437</f>
        <v>아샴</v>
      </c>
      <c r="G1437" s="7">
        <f>+[2]일자별!G1437</f>
        <v>15</v>
      </c>
      <c r="H1437" s="7">
        <f>+[2]일자별!H1437</f>
        <v>232</v>
      </c>
      <c r="I1437" s="1">
        <f>+[2]일자별!I1437</f>
        <v>62</v>
      </c>
      <c r="J1437" s="116" t="s">
        <v>165</v>
      </c>
      <c r="K1437" s="6">
        <f>+[2]일자별!Q1437</f>
        <v>3</v>
      </c>
      <c r="L1437" s="6">
        <f>+[2]일자별!R1437</f>
        <v>0</v>
      </c>
      <c r="M1437" s="6">
        <f>+[2]일자별!S1437</f>
        <v>3</v>
      </c>
      <c r="N1437" s="366">
        <v>0.27868852459016391</v>
      </c>
      <c r="P1437" s="1">
        <v>11</v>
      </c>
    </row>
    <row r="1438" spans="1:16" ht="21.75" hidden="1" customHeight="1" x14ac:dyDescent="0.25">
      <c r="A1438" s="2">
        <v>2024</v>
      </c>
      <c r="B1438" s="2">
        <v>9</v>
      </c>
      <c r="C1438" s="2" t="s">
        <v>157</v>
      </c>
      <c r="D1438" s="3">
        <f t="shared" si="21"/>
        <v>45547</v>
      </c>
      <c r="E1438" s="7">
        <f>+[2]일자별!E1438</f>
        <v>152</v>
      </c>
      <c r="F1438" s="7" t="str">
        <f>+[2]일자별!F1438</f>
        <v>아샴</v>
      </c>
      <c r="G1438" s="7">
        <f>+[2]일자별!G1438</f>
        <v>11</v>
      </c>
      <c r="H1438" s="7">
        <f>+[2]일자별!H1438</f>
        <v>141</v>
      </c>
      <c r="I1438" s="1">
        <f>+[2]일자별!I1438</f>
        <v>63</v>
      </c>
      <c r="J1438" s="116" t="s">
        <v>165</v>
      </c>
      <c r="K1438" s="6">
        <f>+[2]일자별!Q1438</f>
        <v>4</v>
      </c>
      <c r="L1438" s="6">
        <f>+[2]일자별!R1438</f>
        <v>0</v>
      </c>
      <c r="M1438" s="6">
        <f>+[2]일자별!S1438</f>
        <v>4</v>
      </c>
      <c r="N1438" s="366">
        <v>0.27868852459016391</v>
      </c>
      <c r="P1438" s="1">
        <v>24</v>
      </c>
    </row>
    <row r="1439" spans="1:16" ht="21.75" hidden="1" customHeight="1" x14ac:dyDescent="0.25">
      <c r="A1439" s="2">
        <v>2024</v>
      </c>
      <c r="B1439" s="2">
        <v>9</v>
      </c>
      <c r="C1439" s="2" t="s">
        <v>158</v>
      </c>
      <c r="D1439" s="3">
        <f t="shared" si="21"/>
        <v>45548</v>
      </c>
      <c r="E1439" s="7">
        <f>+[2]일자별!E1439</f>
        <v>184</v>
      </c>
      <c r="F1439" s="7" t="str">
        <f>+[2]일자별!F1439</f>
        <v>아샴</v>
      </c>
      <c r="G1439" s="7">
        <f>+[2]일자별!G1439</f>
        <v>24</v>
      </c>
      <c r="H1439" s="7">
        <f>+[2]일자별!H1439</f>
        <v>160</v>
      </c>
      <c r="I1439" s="1">
        <f>+[2]일자별!I1439</f>
        <v>64</v>
      </c>
      <c r="J1439" s="116" t="s">
        <v>165</v>
      </c>
      <c r="K1439" s="6">
        <f>+[2]일자별!Q1439</f>
        <v>1</v>
      </c>
      <c r="L1439" s="6">
        <f>+[2]일자별!R1439</f>
        <v>0</v>
      </c>
      <c r="M1439" s="6">
        <f>+[2]일자별!S1439</f>
        <v>1</v>
      </c>
      <c r="N1439" s="366">
        <v>0.27868852459016391</v>
      </c>
      <c r="P1439" s="1">
        <v>80</v>
      </c>
    </row>
    <row r="1440" spans="1:16" ht="21.75" hidden="1" customHeight="1" x14ac:dyDescent="0.25">
      <c r="A1440" s="2">
        <v>2024</v>
      </c>
      <c r="B1440" s="2">
        <v>9</v>
      </c>
      <c r="C1440" s="2" t="s">
        <v>159</v>
      </c>
      <c r="D1440" s="3">
        <f t="shared" si="21"/>
        <v>45549</v>
      </c>
      <c r="E1440" s="7">
        <f>+[2]일자별!E1440</f>
        <v>384</v>
      </c>
      <c r="F1440" s="7" t="str">
        <f>+[2]일자별!F1440</f>
        <v>아샴</v>
      </c>
      <c r="G1440" s="7">
        <f>+[2]일자별!G1440</f>
        <v>80</v>
      </c>
      <c r="H1440" s="7">
        <f>+[2]일자별!H1440</f>
        <v>304</v>
      </c>
      <c r="I1440" s="1">
        <f>+[2]일자별!I1440</f>
        <v>65</v>
      </c>
      <c r="J1440" s="116" t="s">
        <v>164</v>
      </c>
      <c r="K1440" s="6">
        <f>+[2]일자별!Q1440</f>
        <v>7</v>
      </c>
      <c r="L1440" s="6">
        <f>+[2]일자별!R1440</f>
        <v>0</v>
      </c>
      <c r="M1440" s="6">
        <f>+[2]일자별!S1440</f>
        <v>7</v>
      </c>
      <c r="N1440" s="366">
        <v>0.27868852459016391</v>
      </c>
      <c r="P1440" s="1">
        <v>59</v>
      </c>
    </row>
    <row r="1441" spans="1:16" ht="21.75" hidden="1" customHeight="1" x14ac:dyDescent="0.25">
      <c r="A1441" s="2">
        <v>2024</v>
      </c>
      <c r="B1441" s="2">
        <v>9</v>
      </c>
      <c r="C1441" s="2" t="s">
        <v>160</v>
      </c>
      <c r="D1441" s="3">
        <f t="shared" si="21"/>
        <v>45550</v>
      </c>
      <c r="E1441" s="7">
        <f>+[2]일자별!E1441</f>
        <v>370</v>
      </c>
      <c r="F1441" s="7" t="str">
        <f>+[2]일자별!F1441</f>
        <v>아샴</v>
      </c>
      <c r="G1441" s="7">
        <f>+[2]일자별!G1441</f>
        <v>59</v>
      </c>
      <c r="H1441" s="7">
        <f>+[2]일자별!H1441</f>
        <v>311</v>
      </c>
      <c r="I1441" s="1">
        <f>+[2]일자별!I1441</f>
        <v>66</v>
      </c>
      <c r="J1441" s="116" t="s">
        <v>164</v>
      </c>
      <c r="K1441" s="6">
        <f>+[2]일자별!Q1441</f>
        <v>3</v>
      </c>
      <c r="L1441" s="6">
        <f>+[2]일자별!R1441</f>
        <v>0</v>
      </c>
      <c r="M1441" s="6">
        <f>+[2]일자별!S1441</f>
        <v>3</v>
      </c>
      <c r="N1441" s="366">
        <v>0.27868852459016391</v>
      </c>
      <c r="P1441" s="1">
        <v>74</v>
      </c>
    </row>
    <row r="1442" spans="1:16" ht="21.75" hidden="1" customHeight="1" x14ac:dyDescent="0.25">
      <c r="A1442" s="2">
        <v>2024</v>
      </c>
      <c r="B1442" s="2">
        <v>9</v>
      </c>
      <c r="C1442" s="2" t="s">
        <v>161</v>
      </c>
      <c r="D1442" s="3">
        <f t="shared" ref="D1442:D1505" si="22">+D1441+1</f>
        <v>45551</v>
      </c>
      <c r="E1442" s="7">
        <f>+[2]일자별!E1442</f>
        <v>0</v>
      </c>
      <c r="F1442" s="7" t="str">
        <f>+[2]일자별!F1442</f>
        <v>아샴</v>
      </c>
      <c r="G1442" s="7">
        <f>+[2]일자별!G1442</f>
        <v>0</v>
      </c>
      <c r="H1442" s="7">
        <f>+[2]일자별!H1442</f>
        <v>0</v>
      </c>
      <c r="I1442" s="1">
        <f>+[2]일자별!I1442</f>
        <v>67</v>
      </c>
      <c r="J1442" s="116" t="s">
        <v>165</v>
      </c>
      <c r="K1442" s="6">
        <f>+[2]일자별!Q1442</f>
        <v>0</v>
      </c>
      <c r="L1442" s="6">
        <f>+[2]일자별!R1442</f>
        <v>0</v>
      </c>
      <c r="M1442" s="6">
        <f>+[2]일자별!S1442</f>
        <v>0</v>
      </c>
      <c r="N1442" s="366">
        <v>0.27868852459016391</v>
      </c>
      <c r="P1442" s="1">
        <v>20</v>
      </c>
    </row>
    <row r="1443" spans="1:16" ht="21.75" hidden="1" customHeight="1" x14ac:dyDescent="0.25">
      <c r="A1443" s="2">
        <v>2024</v>
      </c>
      <c r="B1443" s="2">
        <v>9</v>
      </c>
      <c r="C1443" s="2" t="s">
        <v>162</v>
      </c>
      <c r="D1443" s="3">
        <f t="shared" si="22"/>
        <v>45552</v>
      </c>
      <c r="E1443" s="7">
        <f>+[2]일자별!E1443</f>
        <v>0</v>
      </c>
      <c r="F1443" s="7" t="str">
        <f>+[2]일자별!F1443</f>
        <v>아샴</v>
      </c>
      <c r="G1443" s="7">
        <f>+[2]일자별!G1443</f>
        <v>0</v>
      </c>
      <c r="H1443" s="7">
        <f>+[2]일자별!H1443</f>
        <v>0</v>
      </c>
      <c r="I1443" s="1">
        <f>+[2]일자별!I1443</f>
        <v>68</v>
      </c>
      <c r="J1443" s="116" t="s">
        <v>165</v>
      </c>
      <c r="K1443" s="6">
        <f>+[2]일자별!Q1443</f>
        <v>0</v>
      </c>
      <c r="L1443" s="6">
        <f>+[2]일자별!R1443</f>
        <v>0</v>
      </c>
      <c r="M1443" s="6">
        <f>+[2]일자별!S1443</f>
        <v>0</v>
      </c>
      <c r="N1443" s="366">
        <v>0.27868852459016391</v>
      </c>
      <c r="P1443" s="1">
        <v>29</v>
      </c>
    </row>
    <row r="1444" spans="1:16" ht="21.75" hidden="1" customHeight="1" x14ac:dyDescent="0.25">
      <c r="A1444" s="2">
        <v>2024</v>
      </c>
      <c r="B1444" s="2">
        <v>9</v>
      </c>
      <c r="C1444" s="2" t="s">
        <v>163</v>
      </c>
      <c r="D1444" s="3">
        <f t="shared" si="22"/>
        <v>45553</v>
      </c>
      <c r="E1444" s="7">
        <f>+[2]일자별!E1444</f>
        <v>346</v>
      </c>
      <c r="F1444" s="7" t="str">
        <f>+[2]일자별!F1444</f>
        <v>아샴</v>
      </c>
      <c r="G1444" s="7">
        <f>+[2]일자별!G1444</f>
        <v>74</v>
      </c>
      <c r="H1444" s="7">
        <f>+[2]일자별!H1444</f>
        <v>272</v>
      </c>
      <c r="I1444" s="1">
        <f>+[2]일자별!I1444</f>
        <v>69</v>
      </c>
      <c r="J1444" s="116" t="s">
        <v>165</v>
      </c>
      <c r="K1444" s="6">
        <f>+[2]일자별!Q1444</f>
        <v>5</v>
      </c>
      <c r="L1444" s="6">
        <f>+[2]일자별!R1444</f>
        <v>0</v>
      </c>
      <c r="M1444" s="6">
        <f>+[2]일자별!S1444</f>
        <v>5</v>
      </c>
      <c r="N1444" s="366">
        <v>0.27868852459016391</v>
      </c>
      <c r="P1444" s="1">
        <v>77</v>
      </c>
    </row>
    <row r="1445" spans="1:16" ht="21.75" hidden="1" customHeight="1" x14ac:dyDescent="0.25">
      <c r="A1445" s="2">
        <v>2024</v>
      </c>
      <c r="B1445" s="2">
        <v>9</v>
      </c>
      <c r="C1445" s="2" t="s">
        <v>157</v>
      </c>
      <c r="D1445" s="3">
        <f t="shared" si="22"/>
        <v>45554</v>
      </c>
      <c r="E1445" s="7">
        <f>+[2]일자별!E1445</f>
        <v>159</v>
      </c>
      <c r="F1445" s="7" t="str">
        <f>+[2]일자별!F1445</f>
        <v>아샴</v>
      </c>
      <c r="G1445" s="7">
        <f>+[2]일자별!G1445</f>
        <v>20</v>
      </c>
      <c r="H1445" s="7">
        <f>+[2]일자별!H1445</f>
        <v>139</v>
      </c>
      <c r="I1445" s="1">
        <f>+[2]일자별!I1445</f>
        <v>70</v>
      </c>
      <c r="J1445" s="116" t="s">
        <v>165</v>
      </c>
      <c r="K1445" s="6">
        <f>+[2]일자별!Q1445</f>
        <v>1</v>
      </c>
      <c r="L1445" s="6">
        <f>+[2]일자별!R1445</f>
        <v>0</v>
      </c>
      <c r="M1445" s="6">
        <f>+[2]일자별!S1445</f>
        <v>1</v>
      </c>
      <c r="N1445" s="366">
        <v>0.27868852459016391</v>
      </c>
      <c r="P1445" s="1">
        <v>54</v>
      </c>
    </row>
    <row r="1446" spans="1:16" ht="21.75" hidden="1" customHeight="1" x14ac:dyDescent="0.25">
      <c r="A1446" s="2">
        <v>2024</v>
      </c>
      <c r="B1446" s="2">
        <v>9</v>
      </c>
      <c r="C1446" s="2" t="s">
        <v>158</v>
      </c>
      <c r="D1446" s="3">
        <f t="shared" si="22"/>
        <v>45555</v>
      </c>
      <c r="E1446" s="7">
        <f>+[2]일자별!E1446</f>
        <v>240</v>
      </c>
      <c r="F1446" s="7" t="str">
        <f>+[2]일자별!F1446</f>
        <v>아샴</v>
      </c>
      <c r="G1446" s="7">
        <f>+[2]일자별!G1446</f>
        <v>29</v>
      </c>
      <c r="H1446" s="7">
        <f>+[2]일자별!H1446</f>
        <v>211</v>
      </c>
      <c r="I1446" s="1">
        <f>+[2]일자별!I1446</f>
        <v>71</v>
      </c>
      <c r="J1446" s="116" t="s">
        <v>165</v>
      </c>
      <c r="K1446" s="6">
        <f>+[2]일자별!Q1446</f>
        <v>4</v>
      </c>
      <c r="L1446" s="6">
        <f>+[2]일자별!R1446</f>
        <v>0</v>
      </c>
      <c r="M1446" s="6">
        <f>+[2]일자별!S1446</f>
        <v>4</v>
      </c>
      <c r="N1446" s="366">
        <v>0.27868852459016391</v>
      </c>
      <c r="P1446" s="1">
        <v>37</v>
      </c>
    </row>
    <row r="1447" spans="1:16" ht="21.75" hidden="1" customHeight="1" x14ac:dyDescent="0.25">
      <c r="A1447" s="2">
        <v>2024</v>
      </c>
      <c r="B1447" s="2">
        <v>9</v>
      </c>
      <c r="C1447" s="2" t="s">
        <v>159</v>
      </c>
      <c r="D1447" s="3">
        <f t="shared" si="22"/>
        <v>45556</v>
      </c>
      <c r="E1447" s="7">
        <f>+[2]일자별!E1447</f>
        <v>370</v>
      </c>
      <c r="F1447" s="7" t="str">
        <f>+[2]일자별!F1447</f>
        <v>아샴</v>
      </c>
      <c r="G1447" s="7">
        <f>+[2]일자별!G1447</f>
        <v>77</v>
      </c>
      <c r="H1447" s="7">
        <f>+[2]일자별!H1447</f>
        <v>293</v>
      </c>
      <c r="I1447" s="1">
        <f>+[2]일자별!I1447</f>
        <v>72</v>
      </c>
      <c r="J1447" s="116" t="s">
        <v>164</v>
      </c>
      <c r="K1447" s="6">
        <f>+[2]일자별!Q1447</f>
        <v>4</v>
      </c>
      <c r="L1447" s="6">
        <f>+[2]일자별!R1447</f>
        <v>0</v>
      </c>
      <c r="M1447" s="6">
        <f>+[2]일자별!S1447</f>
        <v>4</v>
      </c>
      <c r="N1447" s="366">
        <v>0.27868852459016391</v>
      </c>
      <c r="P1447" s="1">
        <v>26</v>
      </c>
    </row>
    <row r="1448" spans="1:16" ht="21.75" hidden="1" customHeight="1" x14ac:dyDescent="0.25">
      <c r="A1448" s="2">
        <v>2024</v>
      </c>
      <c r="B1448" s="2">
        <v>9</v>
      </c>
      <c r="C1448" s="2" t="s">
        <v>160</v>
      </c>
      <c r="D1448" s="3">
        <f t="shared" si="22"/>
        <v>45557</v>
      </c>
      <c r="E1448" s="7">
        <f>+[2]일자별!E1448</f>
        <v>331</v>
      </c>
      <c r="F1448" s="7" t="str">
        <f>+[2]일자별!F1448</f>
        <v>아샴</v>
      </c>
      <c r="G1448" s="7">
        <f>+[2]일자별!G1448</f>
        <v>54</v>
      </c>
      <c r="H1448" s="7">
        <f>+[2]일자별!H1448</f>
        <v>277</v>
      </c>
      <c r="I1448" s="1">
        <f>+[2]일자별!I1448</f>
        <v>73</v>
      </c>
      <c r="J1448" s="116" t="s">
        <v>164</v>
      </c>
      <c r="K1448" s="6">
        <f>+[2]일자별!Q1448</f>
        <v>7</v>
      </c>
      <c r="L1448" s="6">
        <f>+[2]일자별!R1448</f>
        <v>0</v>
      </c>
      <c r="M1448" s="6">
        <f>+[2]일자별!S1448</f>
        <v>7</v>
      </c>
      <c r="N1448" s="366">
        <v>0.27868852459016391</v>
      </c>
      <c r="P1448" s="1">
        <v>38</v>
      </c>
    </row>
    <row r="1449" spans="1:16" ht="21.75" hidden="1" customHeight="1" x14ac:dyDescent="0.25">
      <c r="A1449" s="2">
        <v>2024</v>
      </c>
      <c r="B1449" s="2">
        <v>9</v>
      </c>
      <c r="C1449" s="2" t="s">
        <v>161</v>
      </c>
      <c r="D1449" s="3">
        <f t="shared" si="22"/>
        <v>45558</v>
      </c>
      <c r="E1449" s="7">
        <f>+[2]일자별!E1449</f>
        <v>124</v>
      </c>
      <c r="F1449" s="7" t="str">
        <f>+[2]일자별!F1449</f>
        <v>아샴</v>
      </c>
      <c r="G1449" s="7">
        <f>+[2]일자별!G1449</f>
        <v>37</v>
      </c>
      <c r="H1449" s="7">
        <f>+[2]일자별!H1449</f>
        <v>87</v>
      </c>
      <c r="I1449" s="1">
        <f>+[2]일자별!I1449</f>
        <v>74</v>
      </c>
      <c r="J1449" s="116" t="s">
        <v>165</v>
      </c>
      <c r="K1449" s="6">
        <f>+[2]일자별!Q1449</f>
        <v>0</v>
      </c>
      <c r="L1449" s="6">
        <f>+[2]일자별!R1449</f>
        <v>0</v>
      </c>
      <c r="M1449" s="6">
        <f>+[2]일자별!S1449</f>
        <v>0</v>
      </c>
      <c r="N1449" s="366">
        <v>0.27868852459016391</v>
      </c>
      <c r="P1449" s="1">
        <v>21</v>
      </c>
    </row>
    <row r="1450" spans="1:16" ht="21.75" hidden="1" customHeight="1" x14ac:dyDescent="0.25">
      <c r="A1450" s="2">
        <v>2024</v>
      </c>
      <c r="B1450" s="2">
        <v>9</v>
      </c>
      <c r="C1450" s="2" t="s">
        <v>162</v>
      </c>
      <c r="D1450" s="3">
        <f t="shared" si="22"/>
        <v>45559</v>
      </c>
      <c r="E1450" s="7">
        <f>+[2]일자별!E1450</f>
        <v>124</v>
      </c>
      <c r="F1450" s="7" t="str">
        <f>+[2]일자별!F1450</f>
        <v>아샴</v>
      </c>
      <c r="G1450" s="7">
        <f>+[2]일자별!G1450</f>
        <v>26</v>
      </c>
      <c r="H1450" s="7">
        <f>+[2]일자별!H1450</f>
        <v>98</v>
      </c>
      <c r="I1450" s="1">
        <f>+[2]일자별!I1450</f>
        <v>75</v>
      </c>
      <c r="J1450" s="116" t="s">
        <v>165</v>
      </c>
      <c r="K1450" s="6">
        <f>+[2]일자별!Q1450</f>
        <v>2</v>
      </c>
      <c r="L1450" s="6">
        <f>+[2]일자별!R1450</f>
        <v>0</v>
      </c>
      <c r="M1450" s="6">
        <f>+[2]일자별!S1450</f>
        <v>2</v>
      </c>
      <c r="N1450" s="366">
        <v>0.27868852459016391</v>
      </c>
      <c r="P1450" s="1">
        <v>46</v>
      </c>
    </row>
    <row r="1451" spans="1:16" ht="21.75" hidden="1" customHeight="1" x14ac:dyDescent="0.25">
      <c r="A1451" s="2">
        <v>2024</v>
      </c>
      <c r="B1451" s="2">
        <v>9</v>
      </c>
      <c r="C1451" s="2" t="s">
        <v>163</v>
      </c>
      <c r="D1451" s="3">
        <f t="shared" si="22"/>
        <v>45560</v>
      </c>
      <c r="E1451" s="7">
        <f>+[2]일자별!E1451</f>
        <v>277</v>
      </c>
      <c r="F1451" s="7" t="str">
        <f>+[2]일자별!F1451</f>
        <v>아샴</v>
      </c>
      <c r="G1451" s="7">
        <f>+[2]일자별!G1451</f>
        <v>38</v>
      </c>
      <c r="H1451" s="7">
        <f>+[2]일자별!H1451</f>
        <v>239</v>
      </c>
      <c r="I1451" s="1">
        <f>+[2]일자별!I1451</f>
        <v>76</v>
      </c>
      <c r="J1451" s="116" t="s">
        <v>165</v>
      </c>
      <c r="K1451" s="6">
        <f>+[2]일자별!Q1451</f>
        <v>0</v>
      </c>
      <c r="L1451" s="6">
        <f>+[2]일자별!R1451</f>
        <v>0</v>
      </c>
      <c r="M1451" s="6">
        <f>+[2]일자별!S1451</f>
        <v>0</v>
      </c>
      <c r="N1451" s="366">
        <v>0.27868852459016391</v>
      </c>
      <c r="P1451" s="1">
        <v>120</v>
      </c>
    </row>
    <row r="1452" spans="1:16" ht="21.75" hidden="1" customHeight="1" x14ac:dyDescent="0.25">
      <c r="A1452" s="2">
        <v>2024</v>
      </c>
      <c r="B1452" s="2">
        <v>9</v>
      </c>
      <c r="C1452" s="2" t="s">
        <v>157</v>
      </c>
      <c r="D1452" s="3">
        <f t="shared" si="22"/>
        <v>45561</v>
      </c>
      <c r="E1452" s="7">
        <f>+[2]일자별!E1452</f>
        <v>180</v>
      </c>
      <c r="F1452" s="7" t="str">
        <f>+[2]일자별!F1452</f>
        <v>아샴</v>
      </c>
      <c r="G1452" s="7">
        <f>+[2]일자별!G1452</f>
        <v>21</v>
      </c>
      <c r="H1452" s="7">
        <f>+[2]일자별!H1452</f>
        <v>159</v>
      </c>
      <c r="I1452" s="1">
        <f>+[2]일자별!I1452</f>
        <v>77</v>
      </c>
      <c r="J1452" s="116" t="s">
        <v>165</v>
      </c>
      <c r="K1452" s="6">
        <f>+[2]일자별!Q1452</f>
        <v>2</v>
      </c>
      <c r="L1452" s="6">
        <f>+[2]일자별!R1452</f>
        <v>0</v>
      </c>
      <c r="M1452" s="6">
        <f>+[2]일자별!S1452</f>
        <v>2</v>
      </c>
      <c r="N1452" s="366">
        <v>0.27868852459016391</v>
      </c>
      <c r="P1452" s="1">
        <v>51</v>
      </c>
    </row>
    <row r="1453" spans="1:16" ht="21.75" hidden="1" customHeight="1" x14ac:dyDescent="0.25">
      <c r="A1453" s="2">
        <v>2024</v>
      </c>
      <c r="B1453" s="2">
        <v>9</v>
      </c>
      <c r="C1453" s="2" t="s">
        <v>158</v>
      </c>
      <c r="D1453" s="3">
        <f t="shared" si="22"/>
        <v>45562</v>
      </c>
      <c r="E1453" s="7">
        <f>+[2]일자별!E1453</f>
        <v>222</v>
      </c>
      <c r="F1453" s="7" t="str">
        <f>+[2]일자별!F1453</f>
        <v>아샴</v>
      </c>
      <c r="G1453" s="7">
        <f>+[2]일자별!G1453</f>
        <v>46</v>
      </c>
      <c r="H1453" s="7">
        <f>+[2]일자별!H1453</f>
        <v>176</v>
      </c>
      <c r="I1453" s="1">
        <f>+[2]일자별!I1453</f>
        <v>78</v>
      </c>
      <c r="J1453" s="116" t="s">
        <v>165</v>
      </c>
      <c r="K1453" s="6">
        <f>+[2]일자별!Q1453</f>
        <v>11</v>
      </c>
      <c r="L1453" s="6">
        <f>+[2]일자별!R1453</f>
        <v>0</v>
      </c>
      <c r="M1453" s="6">
        <f>+[2]일자별!S1453</f>
        <v>11</v>
      </c>
      <c r="N1453" s="366">
        <v>0.27868852459016391</v>
      </c>
      <c r="P1453" s="1">
        <v>34</v>
      </c>
    </row>
    <row r="1454" spans="1:16" ht="21.75" hidden="1" customHeight="1" x14ac:dyDescent="0.25">
      <c r="A1454" s="2">
        <v>2024</v>
      </c>
      <c r="B1454" s="2">
        <v>9</v>
      </c>
      <c r="C1454" s="2" t="s">
        <v>159</v>
      </c>
      <c r="D1454" s="3">
        <f t="shared" si="22"/>
        <v>45563</v>
      </c>
      <c r="E1454" s="7">
        <f>+[2]일자별!E1454</f>
        <v>447</v>
      </c>
      <c r="F1454" s="7" t="str">
        <f>+[2]일자별!F1454</f>
        <v>아샴</v>
      </c>
      <c r="G1454" s="7">
        <f>+[2]일자별!G1454</f>
        <v>120</v>
      </c>
      <c r="H1454" s="7">
        <f>+[2]일자별!H1454</f>
        <v>327</v>
      </c>
      <c r="I1454" s="1">
        <f>+[2]일자별!I1454</f>
        <v>79</v>
      </c>
      <c r="J1454" s="116" t="s">
        <v>164</v>
      </c>
      <c r="K1454" s="6">
        <f>+[2]일자별!Q1454</f>
        <v>4</v>
      </c>
      <c r="L1454" s="6">
        <f>+[2]일자별!R1454</f>
        <v>0</v>
      </c>
      <c r="M1454" s="6">
        <f>+[2]일자별!S1454</f>
        <v>4</v>
      </c>
      <c r="N1454" s="366">
        <v>0.27868852459016391</v>
      </c>
      <c r="P1454" s="1">
        <v>150</v>
      </c>
    </row>
    <row r="1455" spans="1:16" ht="21.75" hidden="1" customHeight="1" x14ac:dyDescent="0.25">
      <c r="A1455" s="2">
        <v>2024</v>
      </c>
      <c r="B1455" s="2">
        <v>9</v>
      </c>
      <c r="C1455" s="2" t="s">
        <v>160</v>
      </c>
      <c r="D1455" s="3">
        <f t="shared" si="22"/>
        <v>45564</v>
      </c>
      <c r="E1455" s="7">
        <f>+[2]일자별!E1455</f>
        <v>331</v>
      </c>
      <c r="F1455" s="7" t="str">
        <f>+[2]일자별!F1455</f>
        <v>아샴</v>
      </c>
      <c r="G1455" s="7">
        <f>+[2]일자별!G1455</f>
        <v>51</v>
      </c>
      <c r="H1455" s="7">
        <f>+[2]일자별!H1455</f>
        <v>280</v>
      </c>
      <c r="I1455" s="1">
        <f>+[2]일자별!I1455</f>
        <v>80</v>
      </c>
      <c r="J1455" s="116" t="s">
        <v>164</v>
      </c>
      <c r="K1455" s="6">
        <f>+[2]일자별!Q1455</f>
        <v>8</v>
      </c>
      <c r="L1455" s="6">
        <f>+[2]일자별!R1455</f>
        <v>0</v>
      </c>
      <c r="M1455" s="6">
        <f>+[2]일자별!S1455</f>
        <v>8</v>
      </c>
      <c r="N1455" s="366">
        <v>0.27868852459016391</v>
      </c>
      <c r="P1455" s="1">
        <v>28</v>
      </c>
    </row>
    <row r="1456" spans="1:16" ht="21.75" hidden="1" customHeight="1" x14ac:dyDescent="0.25">
      <c r="A1456" s="2">
        <v>2024</v>
      </c>
      <c r="B1456" s="2">
        <v>9</v>
      </c>
      <c r="C1456" s="2" t="s">
        <v>161</v>
      </c>
      <c r="D1456" s="3">
        <f t="shared" si="22"/>
        <v>45565</v>
      </c>
      <c r="E1456" s="7">
        <f>+[2]일자별!E1456</f>
        <v>165</v>
      </c>
      <c r="F1456" s="7" t="str">
        <f>+[2]일자별!F1456</f>
        <v>아샴</v>
      </c>
      <c r="G1456" s="7">
        <f>+[2]일자별!G1456</f>
        <v>34</v>
      </c>
      <c r="H1456" s="7">
        <f>+[2]일자별!H1456</f>
        <v>131</v>
      </c>
      <c r="I1456" s="1">
        <f>+[2]일자별!I1456</f>
        <v>81</v>
      </c>
      <c r="J1456" s="116" t="s">
        <v>165</v>
      </c>
      <c r="K1456" s="6">
        <f>+[2]일자별!Q1456</f>
        <v>6</v>
      </c>
      <c r="L1456" s="6">
        <f>+[2]일자별!R1456</f>
        <v>0</v>
      </c>
      <c r="M1456" s="6">
        <f>+[2]일자별!S1456</f>
        <v>6</v>
      </c>
      <c r="N1456" s="366">
        <v>0.27868852459016391</v>
      </c>
      <c r="P1456" s="1">
        <v>142</v>
      </c>
    </row>
    <row r="1457" spans="1:14" ht="21.75" hidden="1" customHeight="1" x14ac:dyDescent="0.25">
      <c r="A1457" s="2">
        <v>2024</v>
      </c>
      <c r="B1457" s="2">
        <v>10</v>
      </c>
      <c r="C1457" s="2" t="s">
        <v>162</v>
      </c>
      <c r="D1457" s="3">
        <f t="shared" si="22"/>
        <v>45566</v>
      </c>
      <c r="E1457" s="7">
        <f>+[2]일자별!E1457</f>
        <v>476</v>
      </c>
      <c r="F1457" s="7" t="str">
        <f>+[2]일자별!F1457</f>
        <v>아샴</v>
      </c>
      <c r="G1457" s="7">
        <f>+[2]일자별!G1457</f>
        <v>150</v>
      </c>
      <c r="H1457" s="7">
        <f>+[2]일자별!H1457</f>
        <v>326</v>
      </c>
      <c r="I1457" s="1">
        <f>+[2]일자별!I1457</f>
        <v>82</v>
      </c>
      <c r="J1457" s="116" t="s">
        <v>165</v>
      </c>
      <c r="K1457" s="6">
        <f>+[2]일자별!Q1457</f>
        <v>12</v>
      </c>
      <c r="L1457" s="6">
        <f>+[2]일자별!R1457</f>
        <v>0</v>
      </c>
      <c r="M1457" s="6">
        <f>+[2]일자별!S1457</f>
        <v>12</v>
      </c>
      <c r="N1457" s="366">
        <v>0.27868852459016391</v>
      </c>
    </row>
    <row r="1458" spans="1:14" ht="21.75" hidden="1" customHeight="1" x14ac:dyDescent="0.25">
      <c r="A1458" s="2">
        <v>2024</v>
      </c>
      <c r="B1458" s="2">
        <v>10</v>
      </c>
      <c r="C1458" s="2" t="s">
        <v>163</v>
      </c>
      <c r="D1458" s="3">
        <f t="shared" si="22"/>
        <v>45567</v>
      </c>
      <c r="E1458" s="7">
        <f>+[2]일자별!E1458</f>
        <v>149</v>
      </c>
      <c r="F1458" s="7" t="str">
        <f>+[2]일자별!F1458</f>
        <v>아샴</v>
      </c>
      <c r="G1458" s="7">
        <f>+[2]일자별!G1458</f>
        <v>28</v>
      </c>
      <c r="H1458" s="7">
        <f>+[2]일자별!H1458</f>
        <v>121</v>
      </c>
      <c r="I1458" s="1">
        <f>+[2]일자별!I1458</f>
        <v>83</v>
      </c>
      <c r="J1458" s="116" t="s">
        <v>165</v>
      </c>
      <c r="K1458" s="6">
        <f>+[2]일자별!Q1458</f>
        <v>4</v>
      </c>
      <c r="L1458" s="6">
        <f>+[2]일자별!R1458</f>
        <v>0</v>
      </c>
      <c r="M1458" s="6">
        <f>+[2]일자별!S1458</f>
        <v>4</v>
      </c>
      <c r="N1458" s="366">
        <v>0.27868852459016391</v>
      </c>
    </row>
    <row r="1459" spans="1:14" ht="21.75" hidden="1" customHeight="1" x14ac:dyDescent="0.25">
      <c r="A1459" s="2">
        <v>2024</v>
      </c>
      <c r="B1459" s="2">
        <v>10</v>
      </c>
      <c r="C1459" s="2" t="s">
        <v>157</v>
      </c>
      <c r="D1459" s="3">
        <f t="shared" si="22"/>
        <v>45568</v>
      </c>
      <c r="E1459" s="7">
        <f>+[2]일자별!E1459</f>
        <v>508</v>
      </c>
      <c r="F1459" s="7" t="str">
        <f>+[2]일자별!F1459</f>
        <v>아샴</v>
      </c>
      <c r="G1459" s="7">
        <f>+[2]일자별!G1459</f>
        <v>142</v>
      </c>
      <c r="H1459" s="7">
        <f>+[2]일자별!H1459</f>
        <v>366</v>
      </c>
      <c r="I1459" s="1">
        <f>+[2]일자별!I1459</f>
        <v>84</v>
      </c>
      <c r="J1459" s="116" t="s">
        <v>165</v>
      </c>
      <c r="K1459" s="6">
        <f>+[2]일자별!Q1459</f>
        <v>5</v>
      </c>
      <c r="L1459" s="6">
        <f>+[2]일자별!R1459</f>
        <v>0</v>
      </c>
      <c r="M1459" s="6">
        <f>+[2]일자별!S1459</f>
        <v>5</v>
      </c>
      <c r="N1459" s="366">
        <v>0.27868852459016391</v>
      </c>
    </row>
    <row r="1460" spans="1:14" ht="21.75" hidden="1" customHeight="1" x14ac:dyDescent="0.25">
      <c r="A1460" s="2">
        <v>2024</v>
      </c>
      <c r="B1460" s="2">
        <v>10</v>
      </c>
      <c r="C1460" s="2" t="s">
        <v>158</v>
      </c>
      <c r="D1460" s="3">
        <f t="shared" si="22"/>
        <v>45569</v>
      </c>
      <c r="E1460" s="7">
        <f>+[2]일자별!E1460</f>
        <v>272</v>
      </c>
      <c r="F1460" s="7" t="str">
        <f>+[2]일자별!F1460</f>
        <v>아샴</v>
      </c>
      <c r="G1460" s="7">
        <f>+[2]일자별!G1460</f>
        <v>37</v>
      </c>
      <c r="H1460" s="7">
        <f>+[2]일자별!H1460</f>
        <v>235</v>
      </c>
      <c r="I1460" s="1">
        <f>+[2]일자별!I1460</f>
        <v>85</v>
      </c>
      <c r="J1460" s="116" t="s">
        <v>165</v>
      </c>
      <c r="K1460" s="6">
        <f>+[2]일자별!Q1460</f>
        <v>4</v>
      </c>
      <c r="L1460" s="6">
        <f>+[2]일자별!R1460</f>
        <v>0</v>
      </c>
      <c r="M1460" s="6">
        <f>+[2]일자별!S1460</f>
        <v>4</v>
      </c>
      <c r="N1460" s="366">
        <v>0.27868852459016391</v>
      </c>
    </row>
    <row r="1461" spans="1:14" ht="21.75" hidden="1" customHeight="1" x14ac:dyDescent="0.25">
      <c r="A1461" s="2">
        <v>2024</v>
      </c>
      <c r="B1461" s="2">
        <v>10</v>
      </c>
      <c r="C1461" s="2" t="s">
        <v>159</v>
      </c>
      <c r="D1461" s="3">
        <f t="shared" si="22"/>
        <v>45570</v>
      </c>
      <c r="E1461" s="7">
        <f>+[2]일자별!E1461</f>
        <v>463</v>
      </c>
      <c r="F1461" s="7" t="str">
        <f>+[2]일자별!F1461</f>
        <v>아샴</v>
      </c>
      <c r="G1461" s="7">
        <f>+[2]일자별!G1461</f>
        <v>154</v>
      </c>
      <c r="H1461" s="7">
        <f>+[2]일자별!H1461</f>
        <v>309</v>
      </c>
      <c r="I1461" s="1">
        <f>+[2]일자별!I1461</f>
        <v>86</v>
      </c>
      <c r="J1461" s="116" t="s">
        <v>164</v>
      </c>
      <c r="K1461" s="6">
        <f>+[2]일자별!Q1461</f>
        <v>19</v>
      </c>
      <c r="L1461" s="6">
        <f>+[2]일자별!R1461</f>
        <v>0</v>
      </c>
      <c r="M1461" s="6">
        <f>+[2]일자별!S1461</f>
        <v>19</v>
      </c>
      <c r="N1461" s="366">
        <v>0.27868852459016391</v>
      </c>
    </row>
    <row r="1462" spans="1:14" ht="21.75" hidden="1" customHeight="1" x14ac:dyDescent="0.25">
      <c r="A1462" s="2">
        <v>2024</v>
      </c>
      <c r="B1462" s="2">
        <v>10</v>
      </c>
      <c r="C1462" s="2" t="s">
        <v>160</v>
      </c>
      <c r="D1462" s="3">
        <f t="shared" si="22"/>
        <v>45571</v>
      </c>
      <c r="E1462" s="7">
        <f>+[2]일자별!E1462</f>
        <v>392</v>
      </c>
      <c r="F1462" s="7" t="str">
        <f>+[2]일자별!F1462</f>
        <v>아샴</v>
      </c>
      <c r="G1462" s="7">
        <f>+[2]일자별!G1462</f>
        <v>86</v>
      </c>
      <c r="H1462" s="7">
        <f>+[2]일자별!H1462</f>
        <v>306</v>
      </c>
      <c r="I1462" s="1">
        <f>+[2]일자별!I1462</f>
        <v>87</v>
      </c>
      <c r="J1462" s="116" t="s">
        <v>164</v>
      </c>
      <c r="K1462" s="6">
        <f>+[2]일자별!Q1462</f>
        <v>13</v>
      </c>
      <c r="L1462" s="6">
        <f>+[2]일자별!R1462</f>
        <v>0</v>
      </c>
      <c r="M1462" s="6">
        <f>+[2]일자별!S1462</f>
        <v>13</v>
      </c>
      <c r="N1462" s="366">
        <v>0.27868852459016391</v>
      </c>
    </row>
    <row r="1463" spans="1:14" ht="21.75" hidden="1" customHeight="1" x14ac:dyDescent="0.25">
      <c r="A1463" s="2">
        <v>2024</v>
      </c>
      <c r="B1463" s="2">
        <v>10</v>
      </c>
      <c r="C1463" s="2" t="s">
        <v>161</v>
      </c>
      <c r="D1463" s="3">
        <f t="shared" si="22"/>
        <v>45572</v>
      </c>
      <c r="E1463" s="7">
        <f>+[2]일자별!E1463</f>
        <v>229</v>
      </c>
      <c r="F1463" s="7" t="str">
        <f>+[2]일자별!F1463</f>
        <v>아샴</v>
      </c>
      <c r="G1463" s="7">
        <f>+[2]일자별!G1463</f>
        <v>50</v>
      </c>
      <c r="H1463" s="7">
        <f>+[2]일자별!H1463</f>
        <v>179</v>
      </c>
      <c r="I1463" s="1">
        <f>+[2]일자별!I1463</f>
        <v>88</v>
      </c>
      <c r="J1463" s="116" t="s">
        <v>165</v>
      </c>
      <c r="K1463" s="6">
        <f>+[2]일자별!Q1463</f>
        <v>5</v>
      </c>
      <c r="L1463" s="6">
        <f>+[2]일자별!R1463</f>
        <v>0</v>
      </c>
      <c r="M1463" s="6">
        <f>+[2]일자별!S1463</f>
        <v>5</v>
      </c>
      <c r="N1463" s="366">
        <v>0.27868852459016391</v>
      </c>
    </row>
    <row r="1464" spans="1:14" ht="21.75" hidden="1" customHeight="1" x14ac:dyDescent="0.25">
      <c r="A1464" s="2">
        <v>2024</v>
      </c>
      <c r="B1464" s="2">
        <v>10</v>
      </c>
      <c r="C1464" s="2" t="s">
        <v>162</v>
      </c>
      <c r="D1464" s="3">
        <f t="shared" si="22"/>
        <v>45573</v>
      </c>
      <c r="E1464" s="7">
        <f>+[2]일자별!E1464</f>
        <v>300</v>
      </c>
      <c r="F1464" s="7" t="str">
        <f>+[2]일자별!F1464</f>
        <v>아샴</v>
      </c>
      <c r="G1464" s="7">
        <f>+[2]일자별!G1464</f>
        <v>80</v>
      </c>
      <c r="H1464" s="7">
        <f>+[2]일자별!H1464</f>
        <v>220</v>
      </c>
      <c r="I1464" s="1">
        <f>+[2]일자별!I1464</f>
        <v>89</v>
      </c>
      <c r="J1464" s="116" t="s">
        <v>165</v>
      </c>
      <c r="K1464" s="6">
        <f>+[2]일자별!Q1464</f>
        <v>11</v>
      </c>
      <c r="L1464" s="6">
        <f>+[2]일자별!R1464</f>
        <v>0</v>
      </c>
      <c r="M1464" s="6">
        <f>+[2]일자별!S1464</f>
        <v>11</v>
      </c>
      <c r="N1464" s="366">
        <v>0.27868852459016391</v>
      </c>
    </row>
    <row r="1465" spans="1:14" ht="21.75" hidden="1" customHeight="1" x14ac:dyDescent="0.25">
      <c r="A1465" s="2">
        <v>2024</v>
      </c>
      <c r="B1465" s="2">
        <v>10</v>
      </c>
      <c r="C1465" s="2" t="s">
        <v>163</v>
      </c>
      <c r="D1465" s="3">
        <f t="shared" si="22"/>
        <v>45574</v>
      </c>
      <c r="E1465" s="7">
        <f>+[2]일자별!E1465</f>
        <v>740</v>
      </c>
      <c r="F1465" s="7" t="str">
        <f>+[2]일자별!F1465</f>
        <v>아샴</v>
      </c>
      <c r="G1465" s="7">
        <f>+[2]일자별!G1465</f>
        <v>230</v>
      </c>
      <c r="H1465" s="7">
        <f>+[2]일자별!H1465</f>
        <v>510</v>
      </c>
      <c r="I1465" s="1">
        <f>+[2]일자별!I1465</f>
        <v>90</v>
      </c>
      <c r="J1465" s="116" t="s">
        <v>165</v>
      </c>
      <c r="K1465" s="6">
        <f>+[2]일자별!Q1465</f>
        <v>20</v>
      </c>
      <c r="L1465" s="6">
        <f>+[2]일자별!R1465</f>
        <v>0</v>
      </c>
      <c r="M1465" s="6">
        <f>+[2]일자별!S1465</f>
        <v>20</v>
      </c>
      <c r="N1465" s="366">
        <v>0.27868852459016391</v>
      </c>
    </row>
    <row r="1466" spans="1:14" ht="21.75" hidden="1" customHeight="1" x14ac:dyDescent="0.25">
      <c r="A1466" s="2">
        <v>2024</v>
      </c>
      <c r="B1466" s="2">
        <v>10</v>
      </c>
      <c r="C1466" s="2" t="s">
        <v>157</v>
      </c>
      <c r="D1466" s="3">
        <f t="shared" si="22"/>
        <v>45575</v>
      </c>
      <c r="E1466" s="7">
        <f>+[2]일자별!E1466</f>
        <v>407</v>
      </c>
      <c r="F1466" s="7" t="str">
        <f>+[2]일자별!F1466</f>
        <v>아샴</v>
      </c>
      <c r="G1466" s="7">
        <f>+[2]일자별!G1466</f>
        <v>109</v>
      </c>
      <c r="H1466" s="7">
        <f>+[2]일자별!H1466</f>
        <v>298</v>
      </c>
      <c r="I1466" s="1">
        <f>+[2]일자별!I1466</f>
        <v>91</v>
      </c>
      <c r="J1466" s="116" t="s">
        <v>165</v>
      </c>
      <c r="K1466" s="6">
        <f>+[2]일자별!Q1466</f>
        <v>4</v>
      </c>
      <c r="L1466" s="6">
        <f>+[2]일자별!R1466</f>
        <v>0</v>
      </c>
      <c r="M1466" s="6">
        <f>+[2]일자별!S1466</f>
        <v>4</v>
      </c>
      <c r="N1466" s="366">
        <v>0.27868852459016391</v>
      </c>
    </row>
    <row r="1467" spans="1:14" ht="21.75" hidden="1" customHeight="1" x14ac:dyDescent="0.25">
      <c r="A1467" s="2">
        <v>2024</v>
      </c>
      <c r="B1467" s="2">
        <v>10</v>
      </c>
      <c r="C1467" s="2" t="s">
        <v>158</v>
      </c>
      <c r="D1467" s="3">
        <f t="shared" si="22"/>
        <v>45576</v>
      </c>
      <c r="E1467" s="7">
        <f>+[2]일자별!E1467</f>
        <v>380</v>
      </c>
      <c r="F1467" s="7" t="str">
        <f>+[2]일자별!F1467</f>
        <v>아샴</v>
      </c>
      <c r="G1467" s="7">
        <f>+[2]일자별!G1467</f>
        <v>93</v>
      </c>
      <c r="H1467" s="7">
        <f>+[2]일자별!H1467</f>
        <v>287</v>
      </c>
      <c r="I1467" s="1">
        <f>+[2]일자별!I1467</f>
        <v>92</v>
      </c>
      <c r="J1467" s="116" t="s">
        <v>165</v>
      </c>
      <c r="K1467" s="6">
        <f>+[2]일자별!Q1467</f>
        <v>5</v>
      </c>
      <c r="L1467" s="6">
        <f>+[2]일자별!R1467</f>
        <v>0</v>
      </c>
      <c r="M1467" s="6">
        <f>+[2]일자별!S1467</f>
        <v>5</v>
      </c>
      <c r="N1467" s="366">
        <v>0.27868852459016391</v>
      </c>
    </row>
    <row r="1468" spans="1:14" ht="21.75" hidden="1" customHeight="1" x14ac:dyDescent="0.25">
      <c r="A1468" s="2">
        <v>2024</v>
      </c>
      <c r="B1468" s="2">
        <v>10</v>
      </c>
      <c r="C1468" s="2" t="s">
        <v>159</v>
      </c>
      <c r="D1468" s="3">
        <f t="shared" si="22"/>
        <v>45577</v>
      </c>
      <c r="E1468" s="7">
        <f>+[2]일자별!E1468</f>
        <v>831</v>
      </c>
      <c r="F1468" s="7" t="str">
        <f>+[2]일자별!F1468</f>
        <v>아샴</v>
      </c>
      <c r="G1468" s="7">
        <f>+[2]일자별!G1468</f>
        <v>310</v>
      </c>
      <c r="H1468" s="7">
        <f>+[2]일자별!H1468</f>
        <v>521</v>
      </c>
      <c r="I1468" s="1">
        <f>+[2]일자별!I1468</f>
        <v>93</v>
      </c>
      <c r="J1468" s="116" t="s">
        <v>164</v>
      </c>
      <c r="K1468" s="6">
        <f>+[2]일자별!Q1468</f>
        <v>17</v>
      </c>
      <c r="L1468" s="6">
        <f>+[2]일자별!R1468</f>
        <v>0</v>
      </c>
      <c r="M1468" s="6">
        <f>+[2]일자별!S1468</f>
        <v>17</v>
      </c>
      <c r="N1468" s="366">
        <v>0.27868852459016391</v>
      </c>
    </row>
    <row r="1469" spans="1:14" ht="21.75" hidden="1" customHeight="1" x14ac:dyDescent="0.25">
      <c r="A1469" s="2">
        <v>2024</v>
      </c>
      <c r="B1469" s="2">
        <v>10</v>
      </c>
      <c r="C1469" s="2" t="s">
        <v>160</v>
      </c>
      <c r="D1469" s="3">
        <f t="shared" si="22"/>
        <v>45578</v>
      </c>
      <c r="E1469" s="7">
        <f>+[2]일자별!E1469</f>
        <v>1605</v>
      </c>
      <c r="F1469" s="7" t="str">
        <f>+[2]일자별!F1469</f>
        <v>아샴</v>
      </c>
      <c r="G1469" s="7">
        <f>+[2]일자별!G1469</f>
        <v>23</v>
      </c>
      <c r="H1469" s="7">
        <f>+[2]일자별!H1469</f>
        <v>1582</v>
      </c>
      <c r="I1469" s="1">
        <f>+[2]일자별!I1469</f>
        <v>94</v>
      </c>
      <c r="J1469" s="116" t="s">
        <v>164</v>
      </c>
      <c r="K1469" s="6">
        <f>+[2]일자별!Q1469</f>
        <v>193</v>
      </c>
      <c r="L1469" s="6">
        <f>+[2]일자별!R1469</f>
        <v>0</v>
      </c>
      <c r="M1469" s="6">
        <f>+[2]일자별!S1469</f>
        <v>193</v>
      </c>
      <c r="N1469" s="366">
        <v>0.27868852459016391</v>
      </c>
    </row>
    <row r="1470" spans="1:14" ht="21.75" hidden="1" customHeight="1" x14ac:dyDescent="0.25">
      <c r="A1470" s="2">
        <v>2024</v>
      </c>
      <c r="B1470" s="2">
        <v>10</v>
      </c>
      <c r="C1470" s="2" t="s">
        <v>161</v>
      </c>
      <c r="D1470" s="3">
        <f t="shared" si="22"/>
        <v>45579</v>
      </c>
      <c r="E1470" s="7">
        <f>+[2]일자별!E1470</f>
        <v>0</v>
      </c>
      <c r="F1470" s="7">
        <f>+[2]일자별!F1470</f>
        <v>0</v>
      </c>
      <c r="G1470" s="7">
        <f>+[2]일자별!G1470</f>
        <v>0</v>
      </c>
      <c r="H1470" s="7">
        <f>+[2]일자별!H1470</f>
        <v>0</v>
      </c>
      <c r="I1470" s="1">
        <f>+[2]일자별!I1470</f>
        <v>416</v>
      </c>
      <c r="J1470" s="116" t="s">
        <v>165</v>
      </c>
      <c r="K1470" s="6">
        <f>+[2]일자별!Q1470</f>
        <v>0</v>
      </c>
      <c r="L1470" s="6">
        <f>+[2]일자별!R1470</f>
        <v>0</v>
      </c>
      <c r="M1470" s="6">
        <f>+[2]일자별!S1470</f>
        <v>0</v>
      </c>
      <c r="N1470" s="366">
        <v>0.27868852459016391</v>
      </c>
    </row>
    <row r="1471" spans="1:14" ht="21.75" hidden="1" customHeight="1" x14ac:dyDescent="0.25">
      <c r="A1471" s="2">
        <v>2024</v>
      </c>
      <c r="B1471" s="2">
        <v>10</v>
      </c>
      <c r="C1471" s="2" t="s">
        <v>162</v>
      </c>
      <c r="D1471" s="3">
        <f t="shared" si="22"/>
        <v>45580</v>
      </c>
      <c r="E1471" s="7">
        <f>+[2]일자별!E1471</f>
        <v>0</v>
      </c>
      <c r="F1471" s="7">
        <f>+[2]일자별!F1471</f>
        <v>0</v>
      </c>
      <c r="G1471" s="7">
        <f>+[2]일자별!G1471</f>
        <v>0</v>
      </c>
      <c r="H1471" s="7">
        <f>+[2]일자별!H1471</f>
        <v>0</v>
      </c>
      <c r="I1471" s="1">
        <f>+[2]일자별!I1471</f>
        <v>417</v>
      </c>
      <c r="J1471" s="116" t="s">
        <v>165</v>
      </c>
      <c r="K1471" s="6">
        <f>+[2]일자별!Q1471</f>
        <v>0</v>
      </c>
      <c r="L1471" s="6">
        <f>+[2]일자별!R1471</f>
        <v>0</v>
      </c>
      <c r="M1471" s="6">
        <f>+[2]일자별!S1471</f>
        <v>0</v>
      </c>
      <c r="N1471" s="366">
        <v>0.27868852459016391</v>
      </c>
    </row>
    <row r="1472" spans="1:14" ht="21.75" hidden="1" customHeight="1" x14ac:dyDescent="0.25">
      <c r="A1472" s="2">
        <v>2024</v>
      </c>
      <c r="B1472" s="2">
        <v>10</v>
      </c>
      <c r="C1472" s="2" t="s">
        <v>163</v>
      </c>
      <c r="D1472" s="3">
        <f t="shared" si="22"/>
        <v>45581</v>
      </c>
      <c r="E1472" s="7">
        <f>+[2]일자별!E1472</f>
        <v>0</v>
      </c>
      <c r="F1472" s="7">
        <f>+[2]일자별!F1472</f>
        <v>0</v>
      </c>
      <c r="G1472" s="7">
        <f>+[2]일자별!G1472</f>
        <v>0</v>
      </c>
      <c r="H1472" s="7">
        <f>+[2]일자별!H1472</f>
        <v>0</v>
      </c>
      <c r="I1472" s="1">
        <f>+[2]일자별!I1472</f>
        <v>418</v>
      </c>
      <c r="J1472" s="116" t="s">
        <v>165</v>
      </c>
      <c r="K1472" s="6">
        <f>+[2]일자별!Q1472</f>
        <v>0</v>
      </c>
      <c r="L1472" s="6">
        <f>+[2]일자별!R1472</f>
        <v>0</v>
      </c>
      <c r="M1472" s="6">
        <f>+[2]일자별!S1472</f>
        <v>0</v>
      </c>
      <c r="N1472" s="366">
        <v>0.27868852459016391</v>
      </c>
    </row>
    <row r="1473" spans="1:14" ht="21.75" hidden="1" customHeight="1" x14ac:dyDescent="0.25">
      <c r="A1473" s="2">
        <v>2024</v>
      </c>
      <c r="B1473" s="2">
        <v>10</v>
      </c>
      <c r="C1473" s="2" t="s">
        <v>157</v>
      </c>
      <c r="D1473" s="3">
        <f t="shared" si="22"/>
        <v>45582</v>
      </c>
      <c r="E1473" s="7">
        <f>+[2]일자별!E1473</f>
        <v>0</v>
      </c>
      <c r="F1473" s="7">
        <f>+[2]일자별!F1473</f>
        <v>0</v>
      </c>
      <c r="G1473" s="7">
        <f>+[2]일자별!G1473</f>
        <v>0</v>
      </c>
      <c r="H1473" s="7">
        <f>+[2]일자별!H1473</f>
        <v>0</v>
      </c>
      <c r="I1473" s="1">
        <f>+[2]일자별!I1473</f>
        <v>419</v>
      </c>
      <c r="J1473" s="116" t="s">
        <v>165</v>
      </c>
      <c r="K1473" s="6">
        <f>+[2]일자별!Q1473</f>
        <v>0</v>
      </c>
      <c r="L1473" s="6">
        <f>+[2]일자별!R1473</f>
        <v>0</v>
      </c>
      <c r="M1473" s="6">
        <f>+[2]일자별!S1473</f>
        <v>0</v>
      </c>
      <c r="N1473" s="366">
        <v>0.27868852459016391</v>
      </c>
    </row>
    <row r="1474" spans="1:14" ht="21.75" hidden="1" customHeight="1" x14ac:dyDescent="0.25">
      <c r="A1474" s="2">
        <v>2024</v>
      </c>
      <c r="B1474" s="2">
        <v>10</v>
      </c>
      <c r="C1474" s="2" t="s">
        <v>158</v>
      </c>
      <c r="D1474" s="3">
        <f t="shared" si="22"/>
        <v>45583</v>
      </c>
      <c r="E1474" s="7">
        <f>+[2]일자별!E1474</f>
        <v>0</v>
      </c>
      <c r="F1474" s="7">
        <f>+[2]일자별!F1474</f>
        <v>0</v>
      </c>
      <c r="G1474" s="7">
        <f>+[2]일자별!G1474</f>
        <v>0</v>
      </c>
      <c r="H1474" s="7">
        <f>+[2]일자별!H1474</f>
        <v>0</v>
      </c>
      <c r="I1474" s="1">
        <f>+[2]일자별!I1474</f>
        <v>420</v>
      </c>
      <c r="J1474" s="116" t="s">
        <v>165</v>
      </c>
      <c r="K1474" s="6">
        <f>+[2]일자별!Q1474</f>
        <v>0</v>
      </c>
      <c r="L1474" s="6">
        <f>+[2]일자별!R1474</f>
        <v>0</v>
      </c>
      <c r="M1474" s="6">
        <f>+[2]일자별!S1474</f>
        <v>0</v>
      </c>
      <c r="N1474" s="366">
        <v>0.27868852459016391</v>
      </c>
    </row>
    <row r="1475" spans="1:14" ht="21.75" hidden="1" customHeight="1" x14ac:dyDescent="0.25">
      <c r="A1475" s="2">
        <v>2024</v>
      </c>
      <c r="B1475" s="2">
        <v>10</v>
      </c>
      <c r="C1475" s="2" t="s">
        <v>159</v>
      </c>
      <c r="D1475" s="3">
        <f t="shared" si="22"/>
        <v>45584</v>
      </c>
      <c r="E1475" s="7">
        <f>+[2]일자별!E1475</f>
        <v>0</v>
      </c>
      <c r="F1475" s="7">
        <f>+[2]일자별!F1475</f>
        <v>0</v>
      </c>
      <c r="G1475" s="7">
        <f>+[2]일자별!G1475</f>
        <v>0</v>
      </c>
      <c r="H1475" s="7">
        <f>+[2]일자별!H1475</f>
        <v>0</v>
      </c>
      <c r="I1475" s="1">
        <f>+[2]일자별!I1475</f>
        <v>421</v>
      </c>
      <c r="J1475" s="116" t="s">
        <v>164</v>
      </c>
      <c r="K1475" s="6">
        <f>+[2]일자별!Q1475</f>
        <v>0</v>
      </c>
      <c r="L1475" s="6">
        <f>+[2]일자별!R1475</f>
        <v>0</v>
      </c>
      <c r="M1475" s="6">
        <f>+[2]일자별!S1475</f>
        <v>0</v>
      </c>
      <c r="N1475" s="366">
        <v>0.27868852459016391</v>
      </c>
    </row>
    <row r="1476" spans="1:14" ht="21.75" hidden="1" customHeight="1" x14ac:dyDescent="0.25">
      <c r="A1476" s="2">
        <v>2024</v>
      </c>
      <c r="B1476" s="2">
        <v>10</v>
      </c>
      <c r="C1476" s="2" t="s">
        <v>160</v>
      </c>
      <c r="D1476" s="3">
        <f t="shared" si="22"/>
        <v>45585</v>
      </c>
      <c r="E1476" s="7">
        <f>+[2]일자별!E1476</f>
        <v>0</v>
      </c>
      <c r="F1476" s="7">
        <f>+[2]일자별!F1476</f>
        <v>0</v>
      </c>
      <c r="G1476" s="7">
        <f>+[2]일자별!G1476</f>
        <v>0</v>
      </c>
      <c r="H1476" s="7">
        <f>+[2]일자별!H1476</f>
        <v>0</v>
      </c>
      <c r="I1476" s="1">
        <f>+[2]일자별!I1476</f>
        <v>422</v>
      </c>
      <c r="J1476" s="116" t="s">
        <v>164</v>
      </c>
      <c r="K1476" s="6">
        <f>+[2]일자별!Q1476</f>
        <v>0</v>
      </c>
      <c r="L1476" s="6">
        <f>+[2]일자별!R1476</f>
        <v>0</v>
      </c>
      <c r="M1476" s="6">
        <f>+[2]일자별!S1476</f>
        <v>0</v>
      </c>
      <c r="N1476" s="366">
        <v>0.27868852459016391</v>
      </c>
    </row>
    <row r="1477" spans="1:14" ht="21.75" hidden="1" customHeight="1" x14ac:dyDescent="0.25">
      <c r="A1477" s="2">
        <v>2024</v>
      </c>
      <c r="B1477" s="2">
        <v>10</v>
      </c>
      <c r="C1477" s="2" t="s">
        <v>161</v>
      </c>
      <c r="D1477" s="3">
        <f t="shared" si="22"/>
        <v>45586</v>
      </c>
      <c r="E1477" s="7">
        <f>+[2]일자별!E1477</f>
        <v>0</v>
      </c>
      <c r="F1477" s="7">
        <f>+[2]일자별!F1477</f>
        <v>0</v>
      </c>
      <c r="G1477" s="7">
        <f>+[2]일자별!G1477</f>
        <v>0</v>
      </c>
      <c r="H1477" s="7">
        <f>+[2]일자별!H1477</f>
        <v>0</v>
      </c>
      <c r="I1477" s="1">
        <f>+[2]일자별!I1477</f>
        <v>423</v>
      </c>
      <c r="J1477" s="116" t="s">
        <v>165</v>
      </c>
      <c r="K1477" s="6">
        <f>+[2]일자별!Q1477</f>
        <v>0</v>
      </c>
      <c r="L1477" s="6">
        <f>+[2]일자별!R1477</f>
        <v>0</v>
      </c>
      <c r="M1477" s="6">
        <f>+[2]일자별!S1477</f>
        <v>0</v>
      </c>
      <c r="N1477" s="366">
        <v>0.27868852459016391</v>
      </c>
    </row>
    <row r="1478" spans="1:14" ht="21.75" hidden="1" customHeight="1" x14ac:dyDescent="0.25">
      <c r="A1478" s="2">
        <v>2024</v>
      </c>
      <c r="B1478" s="2">
        <v>10</v>
      </c>
      <c r="C1478" s="2" t="s">
        <v>162</v>
      </c>
      <c r="D1478" s="3">
        <f t="shared" si="22"/>
        <v>45587</v>
      </c>
      <c r="E1478" s="7">
        <f>+[2]일자별!E1478</f>
        <v>0</v>
      </c>
      <c r="F1478" s="7">
        <f>+[2]일자별!F1478</f>
        <v>0</v>
      </c>
      <c r="G1478" s="7">
        <f>+[2]일자별!G1478</f>
        <v>0</v>
      </c>
      <c r="H1478" s="7">
        <f>+[2]일자별!H1478</f>
        <v>0</v>
      </c>
      <c r="I1478" s="1">
        <f>+[2]일자별!I1478</f>
        <v>424</v>
      </c>
      <c r="J1478" s="116" t="s">
        <v>165</v>
      </c>
      <c r="K1478" s="6">
        <f>+[2]일자별!Q1478</f>
        <v>0</v>
      </c>
      <c r="L1478" s="6">
        <f>+[2]일자별!R1478</f>
        <v>0</v>
      </c>
      <c r="M1478" s="6">
        <f>+[2]일자별!S1478</f>
        <v>0</v>
      </c>
      <c r="N1478" s="366">
        <v>0.27868852459016391</v>
      </c>
    </row>
    <row r="1479" spans="1:14" ht="21.75" hidden="1" customHeight="1" x14ac:dyDescent="0.25">
      <c r="A1479" s="2">
        <v>2024</v>
      </c>
      <c r="B1479" s="2">
        <v>10</v>
      </c>
      <c r="C1479" s="2" t="s">
        <v>163</v>
      </c>
      <c r="D1479" s="3">
        <f t="shared" si="22"/>
        <v>45588</v>
      </c>
      <c r="E1479" s="7">
        <f>+[2]일자별!E1479</f>
        <v>0</v>
      </c>
      <c r="F1479" s="7">
        <f>+[2]일자별!F1479</f>
        <v>0</v>
      </c>
      <c r="G1479" s="7">
        <f>+[2]일자별!G1479</f>
        <v>0</v>
      </c>
      <c r="H1479" s="7">
        <f>+[2]일자별!H1479</f>
        <v>0</v>
      </c>
      <c r="I1479" s="1">
        <f>+[2]일자별!I1479</f>
        <v>425</v>
      </c>
      <c r="J1479" s="116" t="s">
        <v>165</v>
      </c>
      <c r="K1479" s="6">
        <f>+[2]일자별!Q1479</f>
        <v>0</v>
      </c>
      <c r="L1479" s="6">
        <f>+[2]일자별!R1479</f>
        <v>0</v>
      </c>
      <c r="M1479" s="6">
        <f>+[2]일자별!S1479</f>
        <v>0</v>
      </c>
      <c r="N1479" s="366">
        <v>0.27868852459016391</v>
      </c>
    </row>
    <row r="1480" spans="1:14" ht="21.75" hidden="1" customHeight="1" x14ac:dyDescent="0.25">
      <c r="A1480" s="2">
        <v>2024</v>
      </c>
      <c r="B1480" s="2">
        <v>10</v>
      </c>
      <c r="C1480" s="2" t="s">
        <v>157</v>
      </c>
      <c r="D1480" s="3">
        <f t="shared" si="22"/>
        <v>45589</v>
      </c>
      <c r="E1480" s="7">
        <f>+[2]일자별!E1480</f>
        <v>0</v>
      </c>
      <c r="F1480" s="7">
        <f>+[2]일자별!F1480</f>
        <v>0</v>
      </c>
      <c r="G1480" s="7">
        <f>+[2]일자별!G1480</f>
        <v>0</v>
      </c>
      <c r="H1480" s="7">
        <f>+[2]일자별!H1480</f>
        <v>0</v>
      </c>
      <c r="I1480" s="1">
        <f>+[2]일자별!I1480</f>
        <v>426</v>
      </c>
      <c r="J1480" s="116" t="s">
        <v>165</v>
      </c>
      <c r="K1480" s="6">
        <f>+[2]일자별!Q1480</f>
        <v>0</v>
      </c>
      <c r="L1480" s="6">
        <f>+[2]일자별!R1480</f>
        <v>0</v>
      </c>
      <c r="M1480" s="6">
        <f>+[2]일자별!S1480</f>
        <v>0</v>
      </c>
      <c r="N1480" s="366">
        <v>0.27868852459016391</v>
      </c>
    </row>
    <row r="1481" spans="1:14" ht="21.75" hidden="1" customHeight="1" x14ac:dyDescent="0.25">
      <c r="A1481" s="2">
        <v>2024</v>
      </c>
      <c r="B1481" s="2">
        <v>10</v>
      </c>
      <c r="C1481" s="2" t="s">
        <v>158</v>
      </c>
      <c r="D1481" s="3">
        <f t="shared" si="22"/>
        <v>45590</v>
      </c>
      <c r="E1481" s="7">
        <f>+[2]일자별!E1481</f>
        <v>0</v>
      </c>
      <c r="F1481" s="7">
        <f>+[2]일자별!F1481</f>
        <v>0</v>
      </c>
      <c r="G1481" s="7">
        <f>+[2]일자별!G1481</f>
        <v>0</v>
      </c>
      <c r="H1481" s="7">
        <f>+[2]일자별!H1481</f>
        <v>0</v>
      </c>
      <c r="I1481" s="1">
        <f>+[2]일자별!I1481</f>
        <v>427</v>
      </c>
      <c r="J1481" s="116" t="s">
        <v>165</v>
      </c>
      <c r="K1481" s="6">
        <f>+[2]일자별!Q1481</f>
        <v>0</v>
      </c>
      <c r="L1481" s="6">
        <f>+[2]일자별!R1481</f>
        <v>0</v>
      </c>
      <c r="M1481" s="6">
        <f>+[2]일자별!S1481</f>
        <v>0</v>
      </c>
      <c r="N1481" s="366">
        <v>0.27868852459016391</v>
      </c>
    </row>
    <row r="1482" spans="1:14" ht="21.75" hidden="1" customHeight="1" x14ac:dyDescent="0.25">
      <c r="A1482" s="2">
        <v>2024</v>
      </c>
      <c r="B1482" s="2">
        <v>10</v>
      </c>
      <c r="C1482" s="2" t="s">
        <v>159</v>
      </c>
      <c r="D1482" s="3">
        <f t="shared" si="22"/>
        <v>45591</v>
      </c>
      <c r="E1482" s="7">
        <f>+[2]일자별!E1482</f>
        <v>0</v>
      </c>
      <c r="F1482" s="7">
        <f>+[2]일자별!F1482</f>
        <v>0</v>
      </c>
      <c r="G1482" s="7">
        <f>+[2]일자별!G1482</f>
        <v>0</v>
      </c>
      <c r="H1482" s="7">
        <f>+[2]일자별!H1482</f>
        <v>0</v>
      </c>
      <c r="I1482" s="1">
        <f>+[2]일자별!I1482</f>
        <v>428</v>
      </c>
      <c r="J1482" s="116" t="s">
        <v>164</v>
      </c>
      <c r="K1482" s="6">
        <f>+[2]일자별!Q1482</f>
        <v>0</v>
      </c>
      <c r="L1482" s="6">
        <f>+[2]일자별!R1482</f>
        <v>0</v>
      </c>
      <c r="M1482" s="6">
        <f>+[2]일자별!S1482</f>
        <v>0</v>
      </c>
      <c r="N1482" s="366">
        <v>0.27868852459016391</v>
      </c>
    </row>
    <row r="1483" spans="1:14" ht="21.75" hidden="1" customHeight="1" x14ac:dyDescent="0.25">
      <c r="A1483" s="2">
        <v>2024</v>
      </c>
      <c r="B1483" s="2">
        <v>10</v>
      </c>
      <c r="C1483" s="2" t="s">
        <v>160</v>
      </c>
      <c r="D1483" s="3">
        <f t="shared" si="22"/>
        <v>45592</v>
      </c>
      <c r="E1483" s="7">
        <f>+[2]일자별!E1483</f>
        <v>0</v>
      </c>
      <c r="F1483" s="7">
        <f>+[2]일자별!F1483</f>
        <v>0</v>
      </c>
      <c r="G1483" s="7">
        <f>+[2]일자별!G1483</f>
        <v>0</v>
      </c>
      <c r="H1483" s="7">
        <f>+[2]일자별!H1483</f>
        <v>0</v>
      </c>
      <c r="I1483" s="1">
        <f>+[2]일자별!I1483</f>
        <v>429</v>
      </c>
      <c r="J1483" s="116" t="s">
        <v>164</v>
      </c>
      <c r="K1483" s="6">
        <f>+[2]일자별!Q1483</f>
        <v>0</v>
      </c>
      <c r="L1483" s="6">
        <f>+[2]일자별!R1483</f>
        <v>0</v>
      </c>
      <c r="M1483" s="6">
        <f>+[2]일자별!S1483</f>
        <v>0</v>
      </c>
      <c r="N1483" s="366">
        <v>0.27868852459016391</v>
      </c>
    </row>
    <row r="1484" spans="1:14" ht="21.75" hidden="1" customHeight="1" x14ac:dyDescent="0.25">
      <c r="A1484" s="2">
        <v>2024</v>
      </c>
      <c r="B1484" s="2">
        <v>10</v>
      </c>
      <c r="C1484" s="2" t="s">
        <v>161</v>
      </c>
      <c r="D1484" s="3">
        <f t="shared" si="22"/>
        <v>45593</v>
      </c>
      <c r="E1484" s="7">
        <f>+[2]일자별!E1484</f>
        <v>0</v>
      </c>
      <c r="F1484" s="7">
        <f>+[2]일자별!F1484</f>
        <v>0</v>
      </c>
      <c r="G1484" s="7">
        <f>+[2]일자별!G1484</f>
        <v>0</v>
      </c>
      <c r="H1484" s="7">
        <f>+[2]일자별!H1484</f>
        <v>0</v>
      </c>
      <c r="I1484" s="1">
        <f>+[2]일자별!I1484</f>
        <v>430</v>
      </c>
      <c r="J1484" s="116" t="s">
        <v>165</v>
      </c>
      <c r="K1484" s="6">
        <f>+[2]일자별!Q1484</f>
        <v>0</v>
      </c>
      <c r="L1484" s="6">
        <f>+[2]일자별!R1484</f>
        <v>0</v>
      </c>
      <c r="M1484" s="6">
        <f>+[2]일자별!S1484</f>
        <v>0</v>
      </c>
      <c r="N1484" s="366">
        <v>0.27868852459016391</v>
      </c>
    </row>
    <row r="1485" spans="1:14" ht="21.75" hidden="1" customHeight="1" x14ac:dyDescent="0.25">
      <c r="A1485" s="2">
        <v>2024</v>
      </c>
      <c r="B1485" s="2">
        <v>10</v>
      </c>
      <c r="C1485" s="2" t="s">
        <v>162</v>
      </c>
      <c r="D1485" s="3">
        <f t="shared" si="22"/>
        <v>45594</v>
      </c>
      <c r="E1485" s="7">
        <f>+[2]일자별!E1485</f>
        <v>0</v>
      </c>
      <c r="F1485" s="7">
        <f>+[2]일자별!F1485</f>
        <v>0</v>
      </c>
      <c r="G1485" s="7">
        <f>+[2]일자별!G1485</f>
        <v>0</v>
      </c>
      <c r="H1485" s="7">
        <f>+[2]일자별!H1485</f>
        <v>0</v>
      </c>
      <c r="I1485" s="1">
        <f>+[2]일자별!I1485</f>
        <v>431</v>
      </c>
      <c r="J1485" s="116" t="s">
        <v>165</v>
      </c>
      <c r="K1485" s="6">
        <f>+[2]일자별!Q1485</f>
        <v>0</v>
      </c>
      <c r="L1485" s="6">
        <f>+[2]일자별!R1485</f>
        <v>0</v>
      </c>
      <c r="M1485" s="6">
        <f>+[2]일자별!S1485</f>
        <v>0</v>
      </c>
      <c r="N1485" s="366">
        <v>0.27868852459016391</v>
      </c>
    </row>
    <row r="1486" spans="1:14" ht="21.75" hidden="1" customHeight="1" x14ac:dyDescent="0.25">
      <c r="A1486" s="2">
        <v>2024</v>
      </c>
      <c r="B1486" s="2">
        <v>10</v>
      </c>
      <c r="C1486" s="2" t="s">
        <v>163</v>
      </c>
      <c r="D1486" s="3">
        <f t="shared" si="22"/>
        <v>45595</v>
      </c>
      <c r="E1486" s="7">
        <f>+[2]일자별!E1486</f>
        <v>0</v>
      </c>
      <c r="F1486" s="7">
        <f>+[2]일자별!F1486</f>
        <v>0</v>
      </c>
      <c r="G1486" s="7">
        <f>+[2]일자별!G1486</f>
        <v>0</v>
      </c>
      <c r="H1486" s="7">
        <f>+[2]일자별!H1486</f>
        <v>0</v>
      </c>
      <c r="I1486" s="1">
        <f>+[2]일자별!I1486</f>
        <v>432</v>
      </c>
      <c r="J1486" s="116" t="s">
        <v>165</v>
      </c>
      <c r="K1486" s="6">
        <f>+[2]일자별!Q1486</f>
        <v>0</v>
      </c>
      <c r="L1486" s="6">
        <f>+[2]일자별!R1486</f>
        <v>0</v>
      </c>
      <c r="M1486" s="6">
        <f>+[2]일자별!S1486</f>
        <v>0</v>
      </c>
      <c r="N1486" s="366">
        <v>0.27868852459016391</v>
      </c>
    </row>
    <row r="1487" spans="1:14" ht="21.75" hidden="1" customHeight="1" x14ac:dyDescent="0.25">
      <c r="A1487" s="2">
        <v>2024</v>
      </c>
      <c r="B1487" s="2">
        <v>10</v>
      </c>
      <c r="C1487" s="2" t="s">
        <v>157</v>
      </c>
      <c r="D1487" s="3">
        <f t="shared" si="22"/>
        <v>45596</v>
      </c>
      <c r="E1487" s="7">
        <f>+[2]일자별!E1487</f>
        <v>0</v>
      </c>
      <c r="F1487" s="7">
        <f>+[2]일자별!F1487</f>
        <v>0</v>
      </c>
      <c r="G1487" s="7">
        <f>+[2]일자별!G1487</f>
        <v>0</v>
      </c>
      <c r="H1487" s="7">
        <f>+[2]일자별!H1487</f>
        <v>0</v>
      </c>
      <c r="I1487" s="1">
        <f>+[2]일자별!I1487</f>
        <v>433</v>
      </c>
      <c r="J1487" s="116" t="s">
        <v>165</v>
      </c>
      <c r="K1487" s="6">
        <f>+[2]일자별!Q1487</f>
        <v>0</v>
      </c>
      <c r="L1487" s="6">
        <f>+[2]일자별!R1487</f>
        <v>0</v>
      </c>
      <c r="M1487" s="6">
        <f>+[2]일자별!S1487</f>
        <v>0</v>
      </c>
      <c r="N1487" s="366">
        <v>0.27868852459016391</v>
      </c>
    </row>
    <row r="1488" spans="1:14" ht="21.75" hidden="1" customHeight="1" x14ac:dyDescent="0.25">
      <c r="A1488" s="2">
        <v>2024</v>
      </c>
      <c r="B1488" s="2">
        <v>11</v>
      </c>
      <c r="C1488" s="2" t="s">
        <v>158</v>
      </c>
      <c r="D1488" s="3">
        <f t="shared" si="22"/>
        <v>45597</v>
      </c>
      <c r="E1488" s="7">
        <f>+[2]일자별!E1488</f>
        <v>0</v>
      </c>
      <c r="F1488" s="7">
        <f>+[2]일자별!F1488</f>
        <v>0</v>
      </c>
      <c r="G1488" s="7">
        <f>+[2]일자별!G1488</f>
        <v>0</v>
      </c>
      <c r="H1488" s="7">
        <f>+[2]일자별!H1488</f>
        <v>0</v>
      </c>
      <c r="I1488" s="1">
        <f>+[2]일자별!I1488</f>
        <v>434</v>
      </c>
      <c r="J1488" s="116" t="s">
        <v>165</v>
      </c>
      <c r="K1488" s="6">
        <f>+[2]일자별!Q1488</f>
        <v>0</v>
      </c>
      <c r="L1488" s="6">
        <f>+[2]일자별!R1488</f>
        <v>0</v>
      </c>
      <c r="M1488" s="6">
        <f>+[2]일자별!S1488</f>
        <v>0</v>
      </c>
      <c r="N1488" s="366">
        <v>0.27868852459016391</v>
      </c>
    </row>
    <row r="1489" spans="1:14" ht="21.75" hidden="1" customHeight="1" x14ac:dyDescent="0.25">
      <c r="A1489" s="2">
        <v>2024</v>
      </c>
      <c r="B1489" s="2">
        <v>11</v>
      </c>
      <c r="C1489" s="2" t="s">
        <v>159</v>
      </c>
      <c r="D1489" s="3">
        <f t="shared" si="22"/>
        <v>45598</v>
      </c>
      <c r="E1489" s="7">
        <f>+[2]일자별!E1489</f>
        <v>0</v>
      </c>
      <c r="F1489" s="7">
        <f>+[2]일자별!F1489</f>
        <v>0</v>
      </c>
      <c r="G1489" s="7">
        <f>+[2]일자별!G1489</f>
        <v>0</v>
      </c>
      <c r="H1489" s="7">
        <f>+[2]일자별!H1489</f>
        <v>0</v>
      </c>
      <c r="I1489" s="1">
        <f>+[2]일자별!I1489</f>
        <v>435</v>
      </c>
      <c r="J1489" s="116" t="s">
        <v>164</v>
      </c>
      <c r="K1489" s="6">
        <f>+[2]일자별!Q1489</f>
        <v>0</v>
      </c>
      <c r="L1489" s="6">
        <f>+[2]일자별!R1489</f>
        <v>0</v>
      </c>
      <c r="M1489" s="6">
        <f>+[2]일자별!S1489</f>
        <v>0</v>
      </c>
      <c r="N1489" s="366">
        <v>0.27868852459016391</v>
      </c>
    </row>
    <row r="1490" spans="1:14" ht="21.75" hidden="1" customHeight="1" x14ac:dyDescent="0.25">
      <c r="A1490" s="2">
        <v>2024</v>
      </c>
      <c r="B1490" s="2">
        <v>11</v>
      </c>
      <c r="C1490" s="2" t="s">
        <v>160</v>
      </c>
      <c r="D1490" s="3">
        <f t="shared" si="22"/>
        <v>45599</v>
      </c>
      <c r="E1490" s="7">
        <f>+[2]일자별!E1490</f>
        <v>0</v>
      </c>
      <c r="F1490" s="7">
        <f>+[2]일자별!F1490</f>
        <v>0</v>
      </c>
      <c r="G1490" s="7">
        <f>+[2]일자별!G1490</f>
        <v>0</v>
      </c>
      <c r="H1490" s="7">
        <f>+[2]일자별!H1490</f>
        <v>0</v>
      </c>
      <c r="I1490" s="1">
        <f>+[2]일자별!I1490</f>
        <v>436</v>
      </c>
      <c r="J1490" s="116" t="s">
        <v>164</v>
      </c>
      <c r="K1490" s="6">
        <f>+[2]일자별!Q1490</f>
        <v>0</v>
      </c>
      <c r="L1490" s="6">
        <f>+[2]일자별!R1490</f>
        <v>0</v>
      </c>
      <c r="M1490" s="6">
        <f>+[2]일자별!S1490</f>
        <v>0</v>
      </c>
      <c r="N1490" s="366">
        <v>0.27868852459016391</v>
      </c>
    </row>
    <row r="1491" spans="1:14" ht="21.75" hidden="1" customHeight="1" x14ac:dyDescent="0.25">
      <c r="A1491" s="2">
        <v>2024</v>
      </c>
      <c r="B1491" s="2">
        <v>11</v>
      </c>
      <c r="C1491" s="2" t="s">
        <v>161</v>
      </c>
      <c r="D1491" s="3">
        <f t="shared" si="22"/>
        <v>45600</v>
      </c>
      <c r="E1491" s="7">
        <f>+[2]일자별!E1491</f>
        <v>0</v>
      </c>
      <c r="F1491" s="7">
        <f>+[2]일자별!F1491</f>
        <v>0</v>
      </c>
      <c r="G1491" s="7">
        <f>+[2]일자별!G1491</f>
        <v>0</v>
      </c>
      <c r="H1491" s="7">
        <f>+[2]일자별!H1491</f>
        <v>0</v>
      </c>
      <c r="I1491" s="1">
        <f>+[2]일자별!I1491</f>
        <v>437</v>
      </c>
      <c r="J1491" s="116" t="s">
        <v>165</v>
      </c>
      <c r="K1491" s="6">
        <f>+[2]일자별!Q1491</f>
        <v>0</v>
      </c>
      <c r="L1491" s="6">
        <f>+[2]일자별!R1491</f>
        <v>0</v>
      </c>
      <c r="M1491" s="6">
        <f>+[2]일자별!S1491</f>
        <v>0</v>
      </c>
      <c r="N1491" s="366">
        <v>0.27868852459016391</v>
      </c>
    </row>
    <row r="1492" spans="1:14" ht="21.75" hidden="1" customHeight="1" x14ac:dyDescent="0.25">
      <c r="A1492" s="2">
        <v>2024</v>
      </c>
      <c r="B1492" s="2">
        <v>11</v>
      </c>
      <c r="C1492" s="2" t="s">
        <v>162</v>
      </c>
      <c r="D1492" s="3">
        <f t="shared" si="22"/>
        <v>45601</v>
      </c>
      <c r="E1492" s="7">
        <f>+[2]일자별!E1492</f>
        <v>0</v>
      </c>
      <c r="F1492" s="7">
        <f>+[2]일자별!F1492</f>
        <v>0</v>
      </c>
      <c r="G1492" s="7">
        <f>+[2]일자별!G1492</f>
        <v>0</v>
      </c>
      <c r="H1492" s="7">
        <f>+[2]일자별!H1492</f>
        <v>0</v>
      </c>
      <c r="I1492" s="1">
        <f>+[2]일자별!I1492</f>
        <v>438</v>
      </c>
      <c r="J1492" s="116" t="s">
        <v>165</v>
      </c>
      <c r="K1492" s="6">
        <f>+[2]일자별!Q1492</f>
        <v>0</v>
      </c>
      <c r="L1492" s="6">
        <f>+[2]일자별!R1492</f>
        <v>0</v>
      </c>
      <c r="M1492" s="6">
        <f>+[2]일자별!S1492</f>
        <v>0</v>
      </c>
      <c r="N1492" s="366">
        <v>0.27868852459016391</v>
      </c>
    </row>
    <row r="1493" spans="1:14" ht="21.75" hidden="1" customHeight="1" x14ac:dyDescent="0.25">
      <c r="A1493" s="2">
        <v>2024</v>
      </c>
      <c r="B1493" s="2">
        <v>11</v>
      </c>
      <c r="C1493" s="2" t="s">
        <v>163</v>
      </c>
      <c r="D1493" s="3">
        <f t="shared" si="22"/>
        <v>45602</v>
      </c>
      <c r="E1493" s="7">
        <f>+[2]일자별!E1493</f>
        <v>0</v>
      </c>
      <c r="F1493" s="7">
        <f>+[2]일자별!F1493</f>
        <v>0</v>
      </c>
      <c r="G1493" s="7">
        <f>+[2]일자별!G1493</f>
        <v>0</v>
      </c>
      <c r="H1493" s="7">
        <f>+[2]일자별!H1493</f>
        <v>0</v>
      </c>
      <c r="I1493" s="1">
        <f>+[2]일자별!I1493</f>
        <v>439</v>
      </c>
      <c r="J1493" s="116" t="s">
        <v>165</v>
      </c>
      <c r="K1493" s="6">
        <f>+[2]일자별!Q1493</f>
        <v>0</v>
      </c>
      <c r="L1493" s="6">
        <f>+[2]일자별!R1493</f>
        <v>0</v>
      </c>
      <c r="M1493" s="6">
        <f>+[2]일자별!S1493</f>
        <v>0</v>
      </c>
      <c r="N1493" s="366">
        <v>0.27868852459016391</v>
      </c>
    </row>
    <row r="1494" spans="1:14" ht="21.75" hidden="1" customHeight="1" x14ac:dyDescent="0.25">
      <c r="A1494" s="2">
        <v>2024</v>
      </c>
      <c r="B1494" s="2">
        <v>11</v>
      </c>
      <c r="C1494" s="2" t="s">
        <v>157</v>
      </c>
      <c r="D1494" s="3">
        <f t="shared" si="22"/>
        <v>45603</v>
      </c>
      <c r="E1494" s="7">
        <f>+[2]일자별!E1494</f>
        <v>0</v>
      </c>
      <c r="F1494" s="7">
        <f>+[2]일자별!F1494</f>
        <v>0</v>
      </c>
      <c r="G1494" s="7">
        <f>+[2]일자별!G1494</f>
        <v>0</v>
      </c>
      <c r="H1494" s="7">
        <f>+[2]일자별!H1494</f>
        <v>0</v>
      </c>
      <c r="I1494" s="1">
        <f>+[2]일자별!I1494</f>
        <v>440</v>
      </c>
      <c r="J1494" s="116" t="s">
        <v>165</v>
      </c>
      <c r="K1494" s="6">
        <f>+[2]일자별!Q1494</f>
        <v>0</v>
      </c>
      <c r="L1494" s="6">
        <f>+[2]일자별!R1494</f>
        <v>0</v>
      </c>
      <c r="M1494" s="6">
        <f>+[2]일자별!S1494</f>
        <v>0</v>
      </c>
      <c r="N1494" s="366">
        <v>0.27868852459016391</v>
      </c>
    </row>
    <row r="1495" spans="1:14" ht="21.75" hidden="1" customHeight="1" x14ac:dyDescent="0.25">
      <c r="A1495" s="2">
        <v>2024</v>
      </c>
      <c r="B1495" s="2">
        <v>11</v>
      </c>
      <c r="C1495" s="2" t="s">
        <v>158</v>
      </c>
      <c r="D1495" s="3">
        <f t="shared" si="22"/>
        <v>45604</v>
      </c>
      <c r="E1495" s="7">
        <f>+[2]일자별!E1495</f>
        <v>0</v>
      </c>
      <c r="F1495" s="7">
        <f>+[2]일자별!F1495</f>
        <v>0</v>
      </c>
      <c r="G1495" s="7">
        <f>+[2]일자별!G1495</f>
        <v>0</v>
      </c>
      <c r="H1495" s="7">
        <f>+[2]일자별!H1495</f>
        <v>0</v>
      </c>
      <c r="I1495" s="1">
        <f>+[2]일자별!I1495</f>
        <v>441</v>
      </c>
      <c r="J1495" s="116" t="s">
        <v>165</v>
      </c>
      <c r="K1495" s="6">
        <f>+[2]일자별!Q1495</f>
        <v>0</v>
      </c>
      <c r="L1495" s="6">
        <f>+[2]일자별!R1495</f>
        <v>0</v>
      </c>
      <c r="M1495" s="6">
        <f>+[2]일자별!S1495</f>
        <v>0</v>
      </c>
      <c r="N1495" s="366">
        <v>0.27868852459016391</v>
      </c>
    </row>
    <row r="1496" spans="1:14" ht="21.75" hidden="1" customHeight="1" x14ac:dyDescent="0.25">
      <c r="A1496" s="2">
        <v>2024</v>
      </c>
      <c r="B1496" s="2">
        <v>11</v>
      </c>
      <c r="C1496" s="2" t="s">
        <v>159</v>
      </c>
      <c r="D1496" s="3">
        <f t="shared" si="22"/>
        <v>45605</v>
      </c>
      <c r="E1496" s="7">
        <f>+[2]일자별!E1496</f>
        <v>0</v>
      </c>
      <c r="F1496" s="7">
        <f>+[2]일자별!F1496</f>
        <v>0</v>
      </c>
      <c r="G1496" s="7">
        <f>+[2]일자별!G1496</f>
        <v>0</v>
      </c>
      <c r="H1496" s="7">
        <f>+[2]일자별!H1496</f>
        <v>0</v>
      </c>
      <c r="I1496" s="1">
        <f>+[2]일자별!I1496</f>
        <v>442</v>
      </c>
      <c r="J1496" s="116" t="s">
        <v>164</v>
      </c>
      <c r="K1496" s="6">
        <f>+[2]일자별!Q1496</f>
        <v>0</v>
      </c>
      <c r="L1496" s="6">
        <f>+[2]일자별!R1496</f>
        <v>0</v>
      </c>
      <c r="M1496" s="6">
        <f>+[2]일자별!S1496</f>
        <v>0</v>
      </c>
      <c r="N1496" s="366">
        <v>0</v>
      </c>
    </row>
    <row r="1497" spans="1:14" ht="21.75" hidden="1" customHeight="1" x14ac:dyDescent="0.25">
      <c r="A1497" s="2">
        <v>2024</v>
      </c>
      <c r="B1497" s="2">
        <v>11</v>
      </c>
      <c r="C1497" s="2" t="s">
        <v>160</v>
      </c>
      <c r="D1497" s="3">
        <f t="shared" si="22"/>
        <v>45606</v>
      </c>
      <c r="E1497" s="7">
        <f>+[2]일자별!E1497</f>
        <v>0</v>
      </c>
      <c r="F1497" s="7">
        <f>+[2]일자별!F1497</f>
        <v>0</v>
      </c>
      <c r="G1497" s="7">
        <f>+[2]일자별!G1497</f>
        <v>0</v>
      </c>
      <c r="H1497" s="7">
        <f>+[2]일자별!H1497</f>
        <v>0</v>
      </c>
      <c r="I1497" s="1">
        <f>+[2]일자별!I1497</f>
        <v>443</v>
      </c>
      <c r="J1497" s="116" t="s">
        <v>164</v>
      </c>
      <c r="K1497" s="6">
        <f>+[2]일자별!Q1497</f>
        <v>0</v>
      </c>
      <c r="L1497" s="6">
        <f>+[2]일자별!R1497</f>
        <v>0</v>
      </c>
      <c r="M1497" s="6">
        <f>+[2]일자별!S1497</f>
        <v>0</v>
      </c>
      <c r="N1497" s="366">
        <v>0</v>
      </c>
    </row>
    <row r="1498" spans="1:14" ht="21.75" hidden="1" customHeight="1" x14ac:dyDescent="0.25">
      <c r="A1498" s="2">
        <v>2024</v>
      </c>
      <c r="B1498" s="2">
        <v>11</v>
      </c>
      <c r="C1498" s="2" t="s">
        <v>161</v>
      </c>
      <c r="D1498" s="3">
        <f t="shared" si="22"/>
        <v>45607</v>
      </c>
      <c r="E1498" s="7">
        <f>+[2]일자별!E1498</f>
        <v>0</v>
      </c>
      <c r="F1498" s="7">
        <f>+[2]일자별!F1498</f>
        <v>0</v>
      </c>
      <c r="G1498" s="7">
        <f>+[2]일자별!G1498</f>
        <v>0</v>
      </c>
      <c r="H1498" s="7">
        <f>+[2]일자별!H1498</f>
        <v>0</v>
      </c>
      <c r="I1498" s="1">
        <f>+[2]일자별!I1498</f>
        <v>444</v>
      </c>
      <c r="J1498" s="116" t="s">
        <v>165</v>
      </c>
      <c r="K1498" s="6">
        <f>+[2]일자별!Q1498</f>
        <v>0</v>
      </c>
      <c r="L1498" s="6">
        <f>+[2]일자별!R1498</f>
        <v>0</v>
      </c>
      <c r="M1498" s="6">
        <f>+[2]일자별!S1498</f>
        <v>0</v>
      </c>
      <c r="N1498" s="366">
        <v>0</v>
      </c>
    </row>
    <row r="1499" spans="1:14" ht="21.75" hidden="1" customHeight="1" x14ac:dyDescent="0.25">
      <c r="A1499" s="2">
        <v>2024</v>
      </c>
      <c r="B1499" s="2">
        <v>11</v>
      </c>
      <c r="C1499" s="2" t="s">
        <v>162</v>
      </c>
      <c r="D1499" s="3">
        <f t="shared" si="22"/>
        <v>45608</v>
      </c>
      <c r="E1499" s="7">
        <f>+[2]일자별!E1499</f>
        <v>0</v>
      </c>
      <c r="F1499" s="7">
        <f>+[2]일자별!F1499</f>
        <v>0</v>
      </c>
      <c r="G1499" s="7">
        <f>+[2]일자별!G1499</f>
        <v>0</v>
      </c>
      <c r="H1499" s="7">
        <f>+[2]일자별!H1499</f>
        <v>0</v>
      </c>
      <c r="I1499" s="1">
        <f>+[2]일자별!I1499</f>
        <v>445</v>
      </c>
      <c r="J1499" s="116" t="s">
        <v>165</v>
      </c>
      <c r="K1499" s="6">
        <f>+[2]일자별!Q1499</f>
        <v>0</v>
      </c>
      <c r="L1499" s="6">
        <f>+[2]일자별!R1499</f>
        <v>0</v>
      </c>
      <c r="M1499" s="6">
        <f>+[2]일자별!S1499</f>
        <v>0</v>
      </c>
      <c r="N1499" s="366">
        <v>0</v>
      </c>
    </row>
    <row r="1500" spans="1:14" ht="21.75" hidden="1" customHeight="1" x14ac:dyDescent="0.25">
      <c r="A1500" s="2">
        <v>2024</v>
      </c>
      <c r="B1500" s="2">
        <v>11</v>
      </c>
      <c r="C1500" s="2" t="s">
        <v>163</v>
      </c>
      <c r="D1500" s="3">
        <f t="shared" si="22"/>
        <v>45609</v>
      </c>
      <c r="E1500" s="7">
        <f>+[2]일자별!E1500</f>
        <v>0</v>
      </c>
      <c r="F1500" s="7">
        <f>+[2]일자별!F1500</f>
        <v>0</v>
      </c>
      <c r="G1500" s="7">
        <f>+[2]일자별!G1500</f>
        <v>0</v>
      </c>
      <c r="H1500" s="7">
        <f>+[2]일자별!H1500</f>
        <v>0</v>
      </c>
      <c r="I1500" s="1">
        <f>+[2]일자별!I1500</f>
        <v>446</v>
      </c>
      <c r="J1500" s="116" t="s">
        <v>165</v>
      </c>
      <c r="K1500" s="6">
        <f>+[2]일자별!Q1500</f>
        <v>0</v>
      </c>
      <c r="L1500" s="6">
        <f>+[2]일자별!R1500</f>
        <v>0</v>
      </c>
      <c r="M1500" s="6">
        <f>+[2]일자별!S1500</f>
        <v>0</v>
      </c>
      <c r="N1500" s="366">
        <v>0</v>
      </c>
    </row>
    <row r="1501" spans="1:14" ht="21.75" hidden="1" customHeight="1" x14ac:dyDescent="0.25">
      <c r="A1501" s="2">
        <v>2024</v>
      </c>
      <c r="B1501" s="2">
        <v>11</v>
      </c>
      <c r="C1501" s="2" t="s">
        <v>157</v>
      </c>
      <c r="D1501" s="3">
        <f t="shared" si="22"/>
        <v>45610</v>
      </c>
      <c r="E1501" s="7">
        <f>+[2]일자별!E1501</f>
        <v>0</v>
      </c>
      <c r="F1501" s="7">
        <f>+[2]일자별!F1501</f>
        <v>0</v>
      </c>
      <c r="G1501" s="7">
        <f>+[2]일자별!G1501</f>
        <v>0</v>
      </c>
      <c r="H1501" s="7">
        <f>+[2]일자별!H1501</f>
        <v>0</v>
      </c>
      <c r="I1501" s="1">
        <f>+[2]일자별!I1501</f>
        <v>447</v>
      </c>
      <c r="J1501" s="116" t="s">
        <v>165</v>
      </c>
      <c r="K1501" s="6">
        <f>+[2]일자별!Q1501</f>
        <v>0</v>
      </c>
      <c r="L1501" s="6">
        <f>+[2]일자별!R1501</f>
        <v>0</v>
      </c>
      <c r="M1501" s="6">
        <f>+[2]일자별!S1501</f>
        <v>0</v>
      </c>
      <c r="N1501" s="366">
        <v>0</v>
      </c>
    </row>
    <row r="1502" spans="1:14" ht="21.75" hidden="1" customHeight="1" x14ac:dyDescent="0.25">
      <c r="A1502" s="2">
        <v>2024</v>
      </c>
      <c r="B1502" s="2">
        <v>11</v>
      </c>
      <c r="C1502" s="2" t="s">
        <v>158</v>
      </c>
      <c r="D1502" s="3">
        <f t="shared" si="22"/>
        <v>45611</v>
      </c>
      <c r="E1502" s="7">
        <f>+[2]일자별!E1502</f>
        <v>0</v>
      </c>
      <c r="F1502" s="7">
        <f>+[2]일자별!F1502</f>
        <v>0</v>
      </c>
      <c r="G1502" s="7">
        <f>+[2]일자별!G1502</f>
        <v>0</v>
      </c>
      <c r="H1502" s="7">
        <f>+[2]일자별!H1502</f>
        <v>0</v>
      </c>
      <c r="I1502" s="1">
        <f>+[2]일자별!I1502</f>
        <v>448</v>
      </c>
      <c r="J1502" s="116" t="s">
        <v>165</v>
      </c>
      <c r="K1502" s="6">
        <f>+[2]일자별!Q1502</f>
        <v>0</v>
      </c>
      <c r="L1502" s="6">
        <f>+[2]일자별!R1502</f>
        <v>0</v>
      </c>
      <c r="M1502" s="6">
        <f>+[2]일자별!S1502</f>
        <v>0</v>
      </c>
      <c r="N1502" s="366">
        <v>0</v>
      </c>
    </row>
    <row r="1503" spans="1:14" ht="21.75" hidden="1" customHeight="1" x14ac:dyDescent="0.25">
      <c r="A1503" s="2">
        <v>2024</v>
      </c>
      <c r="B1503" s="2">
        <v>11</v>
      </c>
      <c r="C1503" s="2" t="s">
        <v>159</v>
      </c>
      <c r="D1503" s="3">
        <f t="shared" si="22"/>
        <v>45612</v>
      </c>
      <c r="E1503" s="7">
        <f>+[2]일자별!E1503</f>
        <v>0</v>
      </c>
      <c r="F1503" s="7">
        <f>+[2]일자별!F1503</f>
        <v>0</v>
      </c>
      <c r="G1503" s="7">
        <f>+[2]일자별!G1503</f>
        <v>0</v>
      </c>
      <c r="H1503" s="7">
        <f>+[2]일자별!H1503</f>
        <v>0</v>
      </c>
      <c r="I1503" s="1">
        <f>+[2]일자별!I1503</f>
        <v>449</v>
      </c>
      <c r="J1503" s="116" t="s">
        <v>164</v>
      </c>
      <c r="K1503" s="6">
        <f>+[2]일자별!Q1503</f>
        <v>0</v>
      </c>
      <c r="L1503" s="6">
        <f>+[2]일자별!R1503</f>
        <v>0</v>
      </c>
      <c r="M1503" s="6">
        <f>+[2]일자별!S1503</f>
        <v>0</v>
      </c>
      <c r="N1503" s="366">
        <v>0</v>
      </c>
    </row>
    <row r="1504" spans="1:14" ht="21.75" hidden="1" customHeight="1" x14ac:dyDescent="0.25">
      <c r="A1504" s="2">
        <v>2024</v>
      </c>
      <c r="B1504" s="2">
        <v>11</v>
      </c>
      <c r="C1504" s="2" t="s">
        <v>160</v>
      </c>
      <c r="D1504" s="3">
        <f t="shared" si="22"/>
        <v>45613</v>
      </c>
      <c r="E1504" s="7">
        <f>+[2]일자별!E1504</f>
        <v>0</v>
      </c>
      <c r="F1504" s="7">
        <f>+[2]일자별!F1504</f>
        <v>0</v>
      </c>
      <c r="G1504" s="7">
        <f>+[2]일자별!G1504</f>
        <v>0</v>
      </c>
      <c r="H1504" s="7">
        <f>+[2]일자별!H1504</f>
        <v>0</v>
      </c>
      <c r="I1504" s="1">
        <f>+[2]일자별!I1504</f>
        <v>450</v>
      </c>
      <c r="J1504" s="116" t="s">
        <v>164</v>
      </c>
      <c r="K1504" s="6">
        <f>+[2]일자별!Q1504</f>
        <v>0</v>
      </c>
      <c r="L1504" s="6">
        <f>+[2]일자별!R1504</f>
        <v>0</v>
      </c>
      <c r="M1504" s="6">
        <f>+[2]일자별!S1504</f>
        <v>0</v>
      </c>
      <c r="N1504" s="366">
        <v>0</v>
      </c>
    </row>
    <row r="1505" spans="1:14" ht="21.75" hidden="1" customHeight="1" x14ac:dyDescent="0.25">
      <c r="A1505" s="2">
        <v>2024</v>
      </c>
      <c r="B1505" s="2">
        <v>11</v>
      </c>
      <c r="C1505" s="2" t="s">
        <v>161</v>
      </c>
      <c r="D1505" s="3">
        <f t="shared" si="22"/>
        <v>45614</v>
      </c>
      <c r="E1505" s="7">
        <f>+[2]일자별!E1505</f>
        <v>0</v>
      </c>
      <c r="F1505" s="7">
        <f>+[2]일자별!F1505</f>
        <v>0</v>
      </c>
      <c r="G1505" s="7">
        <f>+[2]일자별!G1505</f>
        <v>0</v>
      </c>
      <c r="H1505" s="7">
        <f>+[2]일자별!H1505</f>
        <v>0</v>
      </c>
      <c r="I1505" s="1">
        <f>+[2]일자별!I1505</f>
        <v>451</v>
      </c>
      <c r="J1505" s="116" t="s">
        <v>165</v>
      </c>
      <c r="K1505" s="6">
        <f>+[2]일자별!Q1505</f>
        <v>0</v>
      </c>
      <c r="L1505" s="6">
        <f>+[2]일자별!R1505</f>
        <v>0</v>
      </c>
      <c r="M1505" s="6">
        <f>+[2]일자별!S1505</f>
        <v>0</v>
      </c>
      <c r="N1505" s="366">
        <v>0</v>
      </c>
    </row>
    <row r="1506" spans="1:14" ht="21.75" hidden="1" customHeight="1" x14ac:dyDescent="0.25">
      <c r="A1506" s="2">
        <v>2024</v>
      </c>
      <c r="B1506" s="2">
        <v>11</v>
      </c>
      <c r="C1506" s="2" t="s">
        <v>162</v>
      </c>
      <c r="D1506" s="3">
        <f t="shared" ref="D1506:D1548" si="23">+D1505+1</f>
        <v>45615</v>
      </c>
      <c r="E1506" s="7">
        <f>+[2]일자별!E1506</f>
        <v>0</v>
      </c>
      <c r="F1506" s="7">
        <f>+[2]일자별!F1506</f>
        <v>0</v>
      </c>
      <c r="G1506" s="7">
        <f>+[2]일자별!G1506</f>
        <v>0</v>
      </c>
      <c r="H1506" s="7">
        <f>+[2]일자별!H1506</f>
        <v>0</v>
      </c>
      <c r="I1506" s="1">
        <f>+[2]일자별!I1506</f>
        <v>452</v>
      </c>
      <c r="J1506" s="116" t="s">
        <v>165</v>
      </c>
      <c r="K1506" s="6">
        <f>+[2]일자별!Q1506</f>
        <v>0</v>
      </c>
      <c r="L1506" s="6">
        <f>+[2]일자별!R1506</f>
        <v>0</v>
      </c>
      <c r="M1506" s="6">
        <f>+[2]일자별!S1506</f>
        <v>0</v>
      </c>
      <c r="N1506" s="366">
        <v>0</v>
      </c>
    </row>
    <row r="1507" spans="1:14" ht="21.75" hidden="1" customHeight="1" x14ac:dyDescent="0.25">
      <c r="A1507" s="2">
        <v>2024</v>
      </c>
      <c r="B1507" s="2">
        <v>11</v>
      </c>
      <c r="C1507" s="2" t="s">
        <v>163</v>
      </c>
      <c r="D1507" s="3">
        <f t="shared" si="23"/>
        <v>45616</v>
      </c>
      <c r="E1507" s="7">
        <f>+[2]일자별!E1507</f>
        <v>0</v>
      </c>
      <c r="F1507" s="7">
        <f>+[2]일자별!F1507</f>
        <v>0</v>
      </c>
      <c r="G1507" s="7">
        <f>+[2]일자별!G1507</f>
        <v>0</v>
      </c>
      <c r="H1507" s="7">
        <f>+[2]일자별!H1507</f>
        <v>0</v>
      </c>
      <c r="I1507" s="1">
        <f>+[2]일자별!I1507</f>
        <v>453</v>
      </c>
      <c r="J1507" s="116" t="s">
        <v>165</v>
      </c>
      <c r="K1507" s="6">
        <f>+[2]일자별!Q1507</f>
        <v>0</v>
      </c>
      <c r="L1507" s="6">
        <f>+[2]일자별!R1507</f>
        <v>0</v>
      </c>
      <c r="M1507" s="6">
        <f>+[2]일자별!S1507</f>
        <v>0</v>
      </c>
      <c r="N1507" s="366">
        <v>0</v>
      </c>
    </row>
    <row r="1508" spans="1:14" ht="21.75" hidden="1" customHeight="1" x14ac:dyDescent="0.25">
      <c r="A1508" s="2">
        <v>2024</v>
      </c>
      <c r="B1508" s="2">
        <v>11</v>
      </c>
      <c r="C1508" s="2" t="s">
        <v>157</v>
      </c>
      <c r="D1508" s="3">
        <f t="shared" si="23"/>
        <v>45617</v>
      </c>
      <c r="E1508" s="7">
        <f>+[2]일자별!E1508</f>
        <v>0</v>
      </c>
      <c r="F1508" s="7">
        <f>+[2]일자별!F1508</f>
        <v>0</v>
      </c>
      <c r="G1508" s="7">
        <f>+[2]일자별!G1508</f>
        <v>0</v>
      </c>
      <c r="H1508" s="7">
        <f>+[2]일자별!H1508</f>
        <v>0</v>
      </c>
      <c r="I1508" s="1">
        <f>+[2]일자별!I1508</f>
        <v>454</v>
      </c>
      <c r="J1508" s="116" t="s">
        <v>165</v>
      </c>
      <c r="K1508" s="6">
        <f>+[2]일자별!Q1508</f>
        <v>0</v>
      </c>
      <c r="L1508" s="6">
        <f>+[2]일자별!R1508</f>
        <v>0</v>
      </c>
      <c r="M1508" s="6">
        <f>+[2]일자별!S1508</f>
        <v>0</v>
      </c>
      <c r="N1508" s="366">
        <v>0</v>
      </c>
    </row>
    <row r="1509" spans="1:14" ht="21.75" hidden="1" customHeight="1" x14ac:dyDescent="0.25">
      <c r="A1509" s="2">
        <v>2024</v>
      </c>
      <c r="B1509" s="2">
        <v>11</v>
      </c>
      <c r="C1509" s="2" t="s">
        <v>158</v>
      </c>
      <c r="D1509" s="3">
        <f t="shared" si="23"/>
        <v>45618</v>
      </c>
      <c r="E1509" s="7">
        <f>+[2]일자별!E1509</f>
        <v>0</v>
      </c>
      <c r="F1509" s="7">
        <f>+[2]일자별!F1509</f>
        <v>0</v>
      </c>
      <c r="G1509" s="7">
        <f>+[2]일자별!G1509</f>
        <v>0</v>
      </c>
      <c r="H1509" s="7">
        <f>+[2]일자별!H1509</f>
        <v>0</v>
      </c>
      <c r="I1509" s="1">
        <f>+[2]일자별!I1509</f>
        <v>455</v>
      </c>
      <c r="J1509" s="116" t="s">
        <v>165</v>
      </c>
      <c r="K1509" s="6">
        <f>+[2]일자별!Q1509</f>
        <v>0</v>
      </c>
      <c r="L1509" s="6">
        <f>+[2]일자별!R1509</f>
        <v>0</v>
      </c>
      <c r="M1509" s="6">
        <f>+[2]일자별!S1509</f>
        <v>0</v>
      </c>
      <c r="N1509" s="366">
        <v>0</v>
      </c>
    </row>
    <row r="1510" spans="1:14" ht="21.75" hidden="1" customHeight="1" x14ac:dyDescent="0.25">
      <c r="A1510" s="2">
        <v>2024</v>
      </c>
      <c r="B1510" s="2">
        <v>11</v>
      </c>
      <c r="C1510" s="2" t="s">
        <v>159</v>
      </c>
      <c r="D1510" s="3">
        <f t="shared" si="23"/>
        <v>45619</v>
      </c>
      <c r="E1510" s="7">
        <f>+[2]일자별!E1510</f>
        <v>0</v>
      </c>
      <c r="F1510" s="7">
        <f>+[2]일자별!F1510</f>
        <v>0</v>
      </c>
      <c r="G1510" s="7">
        <f>+[2]일자별!G1510</f>
        <v>0</v>
      </c>
      <c r="H1510" s="7">
        <f>+[2]일자별!H1510</f>
        <v>0</v>
      </c>
      <c r="I1510" s="1">
        <f>+[2]일자별!I1510</f>
        <v>456</v>
      </c>
      <c r="J1510" s="116" t="s">
        <v>164</v>
      </c>
      <c r="K1510" s="6">
        <f>+[2]일자별!Q1510</f>
        <v>0</v>
      </c>
      <c r="L1510" s="6">
        <f>+[2]일자별!R1510</f>
        <v>0</v>
      </c>
      <c r="M1510" s="6">
        <f>+[2]일자별!S1510</f>
        <v>0</v>
      </c>
      <c r="N1510" s="366">
        <v>0</v>
      </c>
    </row>
    <row r="1511" spans="1:14" ht="21.75" hidden="1" customHeight="1" x14ac:dyDescent="0.25">
      <c r="A1511" s="2">
        <v>2024</v>
      </c>
      <c r="B1511" s="2">
        <v>11</v>
      </c>
      <c r="C1511" s="2" t="s">
        <v>160</v>
      </c>
      <c r="D1511" s="3">
        <f t="shared" si="23"/>
        <v>45620</v>
      </c>
      <c r="E1511" s="7">
        <f>+[2]일자별!E1511</f>
        <v>0</v>
      </c>
      <c r="F1511" s="7">
        <f>+[2]일자별!F1511</f>
        <v>0</v>
      </c>
      <c r="G1511" s="7">
        <f>+[2]일자별!G1511</f>
        <v>0</v>
      </c>
      <c r="H1511" s="7">
        <f>+[2]일자별!H1511</f>
        <v>0</v>
      </c>
      <c r="I1511" s="1">
        <f>+[2]일자별!I1511</f>
        <v>457</v>
      </c>
      <c r="J1511" s="116" t="s">
        <v>164</v>
      </c>
      <c r="K1511" s="6">
        <f>+[2]일자별!Q1511</f>
        <v>0</v>
      </c>
      <c r="L1511" s="6">
        <f>+[2]일자별!R1511</f>
        <v>0</v>
      </c>
      <c r="M1511" s="6">
        <f>+[2]일자별!S1511</f>
        <v>0</v>
      </c>
      <c r="N1511" s="366">
        <v>0</v>
      </c>
    </row>
    <row r="1512" spans="1:14" ht="21.75" hidden="1" customHeight="1" x14ac:dyDescent="0.25">
      <c r="A1512" s="2">
        <v>2024</v>
      </c>
      <c r="B1512" s="2">
        <v>11</v>
      </c>
      <c r="C1512" s="2" t="s">
        <v>161</v>
      </c>
      <c r="D1512" s="3">
        <f t="shared" si="23"/>
        <v>45621</v>
      </c>
      <c r="E1512" s="7">
        <f>+[2]일자별!E1512</f>
        <v>0</v>
      </c>
      <c r="F1512" s="7">
        <f>+[2]일자별!F1512</f>
        <v>0</v>
      </c>
      <c r="G1512" s="7">
        <f>+[2]일자별!G1512</f>
        <v>0</v>
      </c>
      <c r="H1512" s="7">
        <f>+[2]일자별!H1512</f>
        <v>0</v>
      </c>
      <c r="I1512" s="1">
        <f>+[2]일자별!I1512</f>
        <v>458</v>
      </c>
      <c r="J1512" s="116" t="s">
        <v>165</v>
      </c>
      <c r="K1512" s="6">
        <f>+[2]일자별!Q1512</f>
        <v>0</v>
      </c>
      <c r="L1512" s="6">
        <f>+[2]일자별!R1512</f>
        <v>0</v>
      </c>
      <c r="M1512" s="6">
        <f>+[2]일자별!S1512</f>
        <v>0</v>
      </c>
      <c r="N1512" s="366">
        <v>0</v>
      </c>
    </row>
    <row r="1513" spans="1:14" ht="21.75" hidden="1" customHeight="1" x14ac:dyDescent="0.25">
      <c r="A1513" s="2">
        <v>2024</v>
      </c>
      <c r="B1513" s="2">
        <v>11</v>
      </c>
      <c r="C1513" s="2" t="s">
        <v>162</v>
      </c>
      <c r="D1513" s="3">
        <f t="shared" si="23"/>
        <v>45622</v>
      </c>
      <c r="E1513" s="7">
        <f>+[2]일자별!E1513</f>
        <v>0</v>
      </c>
      <c r="F1513" s="7">
        <f>+[2]일자별!F1513</f>
        <v>0</v>
      </c>
      <c r="G1513" s="7">
        <f>+[2]일자별!G1513</f>
        <v>0</v>
      </c>
      <c r="H1513" s="7">
        <f>+[2]일자별!H1513</f>
        <v>0</v>
      </c>
      <c r="I1513" s="1">
        <f>+[2]일자별!I1513</f>
        <v>459</v>
      </c>
      <c r="J1513" s="116" t="s">
        <v>165</v>
      </c>
      <c r="K1513" s="6">
        <f>+[2]일자별!Q1513</f>
        <v>0</v>
      </c>
      <c r="L1513" s="6">
        <f>+[2]일자별!R1513</f>
        <v>0</v>
      </c>
      <c r="M1513" s="6">
        <f>+[2]일자별!S1513</f>
        <v>0</v>
      </c>
      <c r="N1513" s="366">
        <v>0</v>
      </c>
    </row>
    <row r="1514" spans="1:14" ht="21.75" hidden="1" customHeight="1" x14ac:dyDescent="0.25">
      <c r="A1514" s="2">
        <v>2024</v>
      </c>
      <c r="B1514" s="2">
        <v>11</v>
      </c>
      <c r="C1514" s="2" t="s">
        <v>163</v>
      </c>
      <c r="D1514" s="3">
        <f t="shared" si="23"/>
        <v>45623</v>
      </c>
      <c r="E1514" s="7">
        <f>+[2]일자별!E1514</f>
        <v>0</v>
      </c>
      <c r="F1514" s="7">
        <f>+[2]일자별!F1514</f>
        <v>0</v>
      </c>
      <c r="G1514" s="7">
        <f>+[2]일자별!G1514</f>
        <v>0</v>
      </c>
      <c r="H1514" s="7">
        <f>+[2]일자별!H1514</f>
        <v>0</v>
      </c>
      <c r="I1514" s="1">
        <f>+[2]일자별!I1514</f>
        <v>460</v>
      </c>
      <c r="J1514" s="116" t="s">
        <v>165</v>
      </c>
      <c r="K1514" s="6">
        <f>+[2]일자별!Q1514</f>
        <v>0</v>
      </c>
      <c r="L1514" s="6">
        <f>+[2]일자별!R1514</f>
        <v>0</v>
      </c>
      <c r="M1514" s="6">
        <f>+[2]일자별!S1514</f>
        <v>0</v>
      </c>
      <c r="N1514" s="366">
        <v>0</v>
      </c>
    </row>
    <row r="1515" spans="1:14" ht="21.75" hidden="1" customHeight="1" x14ac:dyDescent="0.25">
      <c r="A1515" s="2">
        <v>2024</v>
      </c>
      <c r="B1515" s="2">
        <v>11</v>
      </c>
      <c r="C1515" s="2" t="s">
        <v>157</v>
      </c>
      <c r="D1515" s="3">
        <f t="shared" si="23"/>
        <v>45624</v>
      </c>
      <c r="E1515" s="7">
        <f>+[2]일자별!E1515</f>
        <v>0</v>
      </c>
      <c r="F1515" s="7">
        <f>+[2]일자별!F1515</f>
        <v>0</v>
      </c>
      <c r="G1515" s="7">
        <f>+[2]일자별!G1515</f>
        <v>0</v>
      </c>
      <c r="H1515" s="7">
        <f>+[2]일자별!H1515</f>
        <v>0</v>
      </c>
      <c r="I1515" s="1">
        <f>+[2]일자별!I1515</f>
        <v>461</v>
      </c>
      <c r="J1515" s="116" t="s">
        <v>165</v>
      </c>
      <c r="K1515" s="6">
        <f>+[2]일자별!Q1515</f>
        <v>0</v>
      </c>
      <c r="L1515" s="6">
        <f>+[2]일자별!R1515</f>
        <v>0</v>
      </c>
      <c r="M1515" s="6">
        <f>+[2]일자별!S1515</f>
        <v>0</v>
      </c>
      <c r="N1515" s="366">
        <v>0</v>
      </c>
    </row>
    <row r="1516" spans="1:14" ht="21.75" hidden="1" customHeight="1" x14ac:dyDescent="0.25">
      <c r="A1516" s="2">
        <v>2024</v>
      </c>
      <c r="B1516" s="2">
        <v>11</v>
      </c>
      <c r="C1516" s="2" t="s">
        <v>158</v>
      </c>
      <c r="D1516" s="3">
        <f t="shared" si="23"/>
        <v>45625</v>
      </c>
      <c r="E1516" s="7">
        <f>+[2]일자별!E1516</f>
        <v>0</v>
      </c>
      <c r="F1516" s="7">
        <f>+[2]일자별!F1516</f>
        <v>0</v>
      </c>
      <c r="G1516" s="7">
        <f>+[2]일자별!G1516</f>
        <v>0</v>
      </c>
      <c r="H1516" s="7">
        <f>+[2]일자별!H1516</f>
        <v>0</v>
      </c>
      <c r="I1516" s="1">
        <f>+[2]일자별!I1516</f>
        <v>462</v>
      </c>
      <c r="J1516" s="116" t="s">
        <v>165</v>
      </c>
      <c r="K1516" s="6">
        <f>+[2]일자별!Q1516</f>
        <v>0</v>
      </c>
      <c r="L1516" s="6">
        <f>+[2]일자별!R1516</f>
        <v>0</v>
      </c>
      <c r="M1516" s="6">
        <f>+[2]일자별!S1516</f>
        <v>0</v>
      </c>
      <c r="N1516" s="366">
        <v>0</v>
      </c>
    </row>
    <row r="1517" spans="1:14" ht="21.75" hidden="1" customHeight="1" x14ac:dyDescent="0.25">
      <c r="A1517" s="2">
        <v>2024</v>
      </c>
      <c r="B1517" s="2">
        <v>11</v>
      </c>
      <c r="C1517" s="2" t="s">
        <v>159</v>
      </c>
      <c r="D1517" s="3">
        <f t="shared" si="23"/>
        <v>45626</v>
      </c>
      <c r="E1517" s="7">
        <f>+[2]일자별!E1517</f>
        <v>0</v>
      </c>
      <c r="F1517" s="7">
        <f>+[2]일자별!F1517</f>
        <v>0</v>
      </c>
      <c r="G1517" s="7">
        <f>+[2]일자별!G1517</f>
        <v>0</v>
      </c>
      <c r="H1517" s="7">
        <f>+[2]일자별!H1517</f>
        <v>0</v>
      </c>
      <c r="I1517" s="1">
        <f>+[2]일자별!I1517</f>
        <v>463</v>
      </c>
      <c r="J1517" s="116" t="s">
        <v>164</v>
      </c>
      <c r="K1517" s="6">
        <f>+[2]일자별!Q1517</f>
        <v>0</v>
      </c>
      <c r="L1517" s="6">
        <f>+[2]일자별!R1517</f>
        <v>0</v>
      </c>
      <c r="M1517" s="6">
        <f>+[2]일자별!S1517</f>
        <v>0</v>
      </c>
      <c r="N1517" s="366">
        <v>0</v>
      </c>
    </row>
    <row r="1518" spans="1:14" ht="21.75" hidden="1" customHeight="1" x14ac:dyDescent="0.25">
      <c r="A1518" s="2">
        <v>2024</v>
      </c>
      <c r="B1518" s="2">
        <v>12</v>
      </c>
      <c r="C1518" s="2" t="s">
        <v>160</v>
      </c>
      <c r="D1518" s="3">
        <f t="shared" si="23"/>
        <v>45627</v>
      </c>
      <c r="E1518" s="7">
        <f>+[2]일자별!E1518</f>
        <v>0</v>
      </c>
      <c r="F1518" s="7">
        <f>+[2]일자별!F1518</f>
        <v>0</v>
      </c>
      <c r="G1518" s="7">
        <f>+[2]일자별!G1518</f>
        <v>0</v>
      </c>
      <c r="H1518" s="7">
        <f>+[2]일자별!H1518</f>
        <v>0</v>
      </c>
      <c r="I1518" s="1">
        <f>+[2]일자별!I1518</f>
        <v>464</v>
      </c>
      <c r="J1518" s="116" t="s">
        <v>164</v>
      </c>
      <c r="K1518" s="6">
        <f>+[2]일자별!Q1518</f>
        <v>0</v>
      </c>
      <c r="L1518" s="6">
        <f>+[2]일자별!R1518</f>
        <v>0</v>
      </c>
      <c r="M1518" s="6">
        <f>+[2]일자별!S1518</f>
        <v>0</v>
      </c>
      <c r="N1518" s="366">
        <v>0</v>
      </c>
    </row>
    <row r="1519" spans="1:14" ht="21.75" hidden="1" customHeight="1" x14ac:dyDescent="0.25">
      <c r="A1519" s="2">
        <v>2024</v>
      </c>
      <c r="B1519" s="2">
        <v>12</v>
      </c>
      <c r="C1519" s="2" t="s">
        <v>161</v>
      </c>
      <c r="D1519" s="3">
        <f t="shared" si="23"/>
        <v>45628</v>
      </c>
      <c r="E1519" s="7">
        <f>+[2]일자별!E1519</f>
        <v>0</v>
      </c>
      <c r="F1519" s="7">
        <f>+[2]일자별!F1519</f>
        <v>0</v>
      </c>
      <c r="G1519" s="7">
        <f>+[2]일자별!G1519</f>
        <v>0</v>
      </c>
      <c r="H1519" s="7">
        <f>+[2]일자별!H1519</f>
        <v>0</v>
      </c>
      <c r="I1519" s="1">
        <f>+[2]일자별!I1519</f>
        <v>465</v>
      </c>
      <c r="J1519" s="116" t="s">
        <v>165</v>
      </c>
      <c r="K1519" s="6">
        <f>+[2]일자별!Q1519</f>
        <v>0</v>
      </c>
      <c r="L1519" s="6">
        <f>+[2]일자별!R1519</f>
        <v>0</v>
      </c>
      <c r="M1519" s="6">
        <f>+[2]일자별!S1519</f>
        <v>0</v>
      </c>
      <c r="N1519" s="366">
        <v>0</v>
      </c>
    </row>
    <row r="1520" spans="1:14" ht="21.75" hidden="1" customHeight="1" x14ac:dyDescent="0.25">
      <c r="A1520" s="2">
        <v>2024</v>
      </c>
      <c r="B1520" s="2">
        <v>12</v>
      </c>
      <c r="C1520" s="2" t="s">
        <v>162</v>
      </c>
      <c r="D1520" s="3">
        <f t="shared" si="23"/>
        <v>45629</v>
      </c>
      <c r="E1520" s="7">
        <f>+[2]일자별!E1520</f>
        <v>0</v>
      </c>
      <c r="F1520" s="7">
        <f>+[2]일자별!F1520</f>
        <v>0</v>
      </c>
      <c r="G1520" s="7">
        <f>+[2]일자별!G1520</f>
        <v>0</v>
      </c>
      <c r="H1520" s="7">
        <f>+[2]일자별!H1520</f>
        <v>0</v>
      </c>
      <c r="I1520" s="1">
        <f>+[2]일자별!I1520</f>
        <v>466</v>
      </c>
      <c r="J1520" s="116" t="s">
        <v>165</v>
      </c>
      <c r="K1520" s="6">
        <f>+[2]일자별!Q1520</f>
        <v>0</v>
      </c>
      <c r="L1520" s="6">
        <f>+[2]일자별!R1520</f>
        <v>0</v>
      </c>
      <c r="M1520" s="6">
        <f>+[2]일자별!S1520</f>
        <v>0</v>
      </c>
      <c r="N1520" s="366">
        <v>0</v>
      </c>
    </row>
    <row r="1521" spans="1:19" ht="21.75" hidden="1" customHeight="1" x14ac:dyDescent="0.25">
      <c r="A1521" s="2">
        <v>2024</v>
      </c>
      <c r="B1521" s="2">
        <v>12</v>
      </c>
      <c r="C1521" s="2" t="s">
        <v>163</v>
      </c>
      <c r="D1521" s="3">
        <f t="shared" si="23"/>
        <v>45630</v>
      </c>
      <c r="E1521" s="7">
        <f>+[2]일자별!E1521</f>
        <v>0</v>
      </c>
      <c r="F1521" s="7">
        <f>+[2]일자별!F1521</f>
        <v>0</v>
      </c>
      <c r="G1521" s="7">
        <f>+[2]일자별!G1521</f>
        <v>0</v>
      </c>
      <c r="H1521" s="7">
        <f>+[2]일자별!H1521</f>
        <v>0</v>
      </c>
      <c r="I1521" s="1">
        <f>+[2]일자별!I1521</f>
        <v>467</v>
      </c>
      <c r="J1521" s="116" t="s">
        <v>165</v>
      </c>
      <c r="K1521" s="6">
        <f>+[2]일자별!Q1521</f>
        <v>0</v>
      </c>
      <c r="L1521" s="6">
        <f>+[2]일자별!R1521</f>
        <v>0</v>
      </c>
      <c r="M1521" s="6">
        <f>+[2]일자별!S1521</f>
        <v>0</v>
      </c>
      <c r="N1521" s="366">
        <v>0</v>
      </c>
    </row>
    <row r="1522" spans="1:19" ht="21.75" hidden="1" customHeight="1" x14ac:dyDescent="0.25">
      <c r="A1522" s="2">
        <v>2024</v>
      </c>
      <c r="B1522" s="2">
        <v>12</v>
      </c>
      <c r="C1522" s="2" t="s">
        <v>157</v>
      </c>
      <c r="D1522" s="3">
        <f t="shared" si="23"/>
        <v>45631</v>
      </c>
      <c r="E1522" s="7">
        <f>+[2]일자별!E1522</f>
        <v>0</v>
      </c>
      <c r="F1522" s="7">
        <f>+[2]일자별!F1522</f>
        <v>0</v>
      </c>
      <c r="G1522" s="7">
        <f>+[2]일자별!G1522</f>
        <v>0</v>
      </c>
      <c r="H1522" s="7">
        <f>+[2]일자별!H1522</f>
        <v>0</v>
      </c>
      <c r="I1522" s="1">
        <f>+[2]일자별!I1522</f>
        <v>468</v>
      </c>
      <c r="J1522" s="116" t="s">
        <v>165</v>
      </c>
      <c r="K1522" s="6">
        <f>+[2]일자별!Q1522</f>
        <v>0</v>
      </c>
      <c r="L1522" s="6">
        <f>+[2]일자별!R1522</f>
        <v>0</v>
      </c>
      <c r="M1522" s="6">
        <f>+[2]일자별!S1522</f>
        <v>0</v>
      </c>
      <c r="N1522" s="366">
        <v>0</v>
      </c>
    </row>
    <row r="1523" spans="1:19" ht="21.75" hidden="1" customHeight="1" x14ac:dyDescent="0.25">
      <c r="A1523" s="2">
        <v>2024</v>
      </c>
      <c r="B1523" s="2">
        <v>12</v>
      </c>
      <c r="C1523" s="2" t="s">
        <v>158</v>
      </c>
      <c r="D1523" s="3">
        <f t="shared" si="23"/>
        <v>45632</v>
      </c>
      <c r="E1523" s="7">
        <f>+[2]일자별!E1523</f>
        <v>0</v>
      </c>
      <c r="F1523" s="7">
        <f>+[2]일자별!F1523</f>
        <v>0</v>
      </c>
      <c r="G1523" s="7">
        <f>+[2]일자별!G1523</f>
        <v>0</v>
      </c>
      <c r="H1523" s="7">
        <f>+[2]일자별!H1523</f>
        <v>0</v>
      </c>
      <c r="I1523" s="1">
        <f>+[2]일자별!I1523</f>
        <v>469</v>
      </c>
      <c r="J1523" s="116" t="s">
        <v>165</v>
      </c>
      <c r="K1523" s="6">
        <f>+[2]일자별!Q1523</f>
        <v>0</v>
      </c>
      <c r="L1523" s="6">
        <f>+[2]일자별!R1523</f>
        <v>0</v>
      </c>
      <c r="M1523" s="6">
        <f>+[2]일자별!S1523</f>
        <v>0</v>
      </c>
      <c r="N1523" s="366">
        <v>0</v>
      </c>
    </row>
    <row r="1524" spans="1:19" ht="21.75" hidden="1" customHeight="1" x14ac:dyDescent="0.25">
      <c r="A1524" s="2">
        <v>2024</v>
      </c>
      <c r="B1524" s="2">
        <v>12</v>
      </c>
      <c r="C1524" s="2" t="s">
        <v>159</v>
      </c>
      <c r="D1524" s="3">
        <f t="shared" si="23"/>
        <v>45633</v>
      </c>
      <c r="E1524" s="7">
        <f>+[2]일자별!E1524</f>
        <v>0</v>
      </c>
      <c r="F1524" s="7">
        <f>+[2]일자별!F1524</f>
        <v>0</v>
      </c>
      <c r="G1524" s="7">
        <f>+[2]일자별!G1524</f>
        <v>0</v>
      </c>
      <c r="H1524" s="7">
        <f>+[2]일자별!H1524</f>
        <v>0</v>
      </c>
      <c r="I1524" s="1">
        <f>+[2]일자별!I1524</f>
        <v>470</v>
      </c>
      <c r="J1524" s="116" t="s">
        <v>164</v>
      </c>
      <c r="K1524" s="6">
        <f>+[2]일자별!Q1524</f>
        <v>0</v>
      </c>
      <c r="L1524" s="6">
        <f>+[2]일자별!R1524</f>
        <v>0</v>
      </c>
      <c r="M1524" s="6">
        <f>+[2]일자별!S1524</f>
        <v>0</v>
      </c>
      <c r="N1524" s="366">
        <v>0</v>
      </c>
    </row>
    <row r="1525" spans="1:19" ht="21.75" hidden="1" customHeight="1" x14ac:dyDescent="0.25">
      <c r="A1525" s="2">
        <v>2024</v>
      </c>
      <c r="B1525" s="2">
        <v>12</v>
      </c>
      <c r="C1525" s="2" t="s">
        <v>160</v>
      </c>
      <c r="D1525" s="3">
        <f t="shared" si="23"/>
        <v>45634</v>
      </c>
      <c r="E1525" s="7">
        <f>+[2]일자별!E1525</f>
        <v>0</v>
      </c>
      <c r="F1525" s="7">
        <f>+[2]일자별!F1525</f>
        <v>0</v>
      </c>
      <c r="G1525" s="7">
        <f>+[2]일자별!G1525</f>
        <v>0</v>
      </c>
      <c r="H1525" s="7">
        <f>+[2]일자별!H1525</f>
        <v>0</v>
      </c>
      <c r="I1525" s="1">
        <f>+[2]일자별!I1525</f>
        <v>471</v>
      </c>
      <c r="J1525" s="116" t="s">
        <v>164</v>
      </c>
      <c r="K1525" s="6">
        <f>+[2]일자별!Q1525</f>
        <v>0</v>
      </c>
      <c r="L1525" s="6">
        <f>+[2]일자별!R1525</f>
        <v>0</v>
      </c>
      <c r="M1525" s="6">
        <f>+[2]일자별!S1525</f>
        <v>0</v>
      </c>
      <c r="N1525" s="366">
        <v>0</v>
      </c>
    </row>
    <row r="1526" spans="1:19" ht="21.75" hidden="1" customHeight="1" x14ac:dyDescent="0.25">
      <c r="A1526" s="2">
        <v>2024</v>
      </c>
      <c r="B1526" s="2">
        <v>12</v>
      </c>
      <c r="C1526" s="2" t="s">
        <v>161</v>
      </c>
      <c r="D1526" s="3">
        <f t="shared" si="23"/>
        <v>45635</v>
      </c>
      <c r="E1526" s="7">
        <f>+[2]일자별!E1526</f>
        <v>0</v>
      </c>
      <c r="F1526" s="7">
        <f>+[2]일자별!F1526</f>
        <v>0</v>
      </c>
      <c r="G1526" s="7">
        <f>+[2]일자별!G1526</f>
        <v>0</v>
      </c>
      <c r="H1526" s="7">
        <f>+[2]일자별!H1526</f>
        <v>0</v>
      </c>
      <c r="I1526" s="1">
        <f>+[2]일자별!I1526</f>
        <v>472</v>
      </c>
      <c r="J1526" s="116" t="s">
        <v>165</v>
      </c>
      <c r="K1526" s="6">
        <f>+[2]일자별!Q1526</f>
        <v>0</v>
      </c>
      <c r="L1526" s="6">
        <f>+[2]일자별!R1526</f>
        <v>0</v>
      </c>
      <c r="M1526" s="6">
        <f>+[2]일자별!S1526</f>
        <v>0</v>
      </c>
      <c r="N1526" s="366">
        <v>0</v>
      </c>
    </row>
    <row r="1527" spans="1:19" ht="21.75" hidden="1" customHeight="1" x14ac:dyDescent="0.25">
      <c r="A1527" s="2">
        <v>2024</v>
      </c>
      <c r="B1527" s="2">
        <v>12</v>
      </c>
      <c r="C1527" s="2" t="s">
        <v>162</v>
      </c>
      <c r="D1527" s="3">
        <f t="shared" si="23"/>
        <v>45636</v>
      </c>
      <c r="E1527" s="7">
        <f>+[2]일자별!E1527</f>
        <v>0</v>
      </c>
      <c r="F1527" s="7">
        <f>+[2]일자별!F1527</f>
        <v>0</v>
      </c>
      <c r="G1527" s="7">
        <f>+[2]일자별!G1527</f>
        <v>0</v>
      </c>
      <c r="H1527" s="7">
        <f>+[2]일자별!H1527</f>
        <v>0</v>
      </c>
      <c r="I1527" s="1">
        <f>+[2]일자별!I1527</f>
        <v>473</v>
      </c>
      <c r="J1527" s="116" t="s">
        <v>165</v>
      </c>
      <c r="K1527" s="6">
        <f>+[2]일자별!Q1527</f>
        <v>0</v>
      </c>
      <c r="L1527" s="6">
        <f>+[2]일자별!R1527</f>
        <v>0</v>
      </c>
      <c r="M1527" s="6">
        <f>+[2]일자별!S1527</f>
        <v>0</v>
      </c>
      <c r="N1527" s="366">
        <v>0</v>
      </c>
    </row>
    <row r="1528" spans="1:19" ht="21.75" hidden="1" customHeight="1" x14ac:dyDescent="0.25">
      <c r="A1528" s="2">
        <v>2024</v>
      </c>
      <c r="B1528" s="2">
        <v>12</v>
      </c>
      <c r="C1528" s="2" t="s">
        <v>163</v>
      </c>
      <c r="D1528" s="3">
        <f t="shared" si="23"/>
        <v>45637</v>
      </c>
      <c r="E1528" s="7">
        <f>+[2]일자별!E1528</f>
        <v>0</v>
      </c>
      <c r="F1528" s="7">
        <f>+[2]일자별!F1528</f>
        <v>0</v>
      </c>
      <c r="G1528" s="7">
        <f>+[2]일자별!G1528</f>
        <v>0</v>
      </c>
      <c r="H1528" s="7">
        <f>+[2]일자별!H1528</f>
        <v>0</v>
      </c>
      <c r="I1528" s="1">
        <f>+[2]일자별!I1528</f>
        <v>474</v>
      </c>
      <c r="J1528" s="116" t="s">
        <v>165</v>
      </c>
      <c r="K1528" s="6">
        <f>+[2]일자별!Q1528</f>
        <v>0</v>
      </c>
      <c r="L1528" s="6">
        <f>+[2]일자별!R1528</f>
        <v>0</v>
      </c>
      <c r="M1528" s="6">
        <f>+[2]일자별!S1528</f>
        <v>0</v>
      </c>
      <c r="N1528" s="366">
        <v>0</v>
      </c>
    </row>
    <row r="1529" spans="1:19" ht="21.75" hidden="1" customHeight="1" x14ac:dyDescent="0.25">
      <c r="A1529" s="2">
        <v>2024</v>
      </c>
      <c r="B1529" s="2">
        <v>12</v>
      </c>
      <c r="C1529" s="2" t="s">
        <v>157</v>
      </c>
      <c r="D1529" s="3">
        <f t="shared" si="23"/>
        <v>45638</v>
      </c>
      <c r="E1529" s="7">
        <f>+[2]일자별!E1529</f>
        <v>0</v>
      </c>
      <c r="F1529" s="7">
        <f>+[2]일자별!F1529</f>
        <v>0</v>
      </c>
      <c r="G1529" s="7">
        <f>+[2]일자별!G1529</f>
        <v>0</v>
      </c>
      <c r="H1529" s="7">
        <f>+[2]일자별!H1529</f>
        <v>0</v>
      </c>
      <c r="I1529" s="1">
        <f>+[2]일자별!I1529</f>
        <v>475</v>
      </c>
      <c r="J1529" s="116" t="s">
        <v>165</v>
      </c>
      <c r="K1529" s="6">
        <f>+[2]일자별!Q1529</f>
        <v>0</v>
      </c>
      <c r="L1529" s="6">
        <f>+[2]일자별!R1529</f>
        <v>0</v>
      </c>
      <c r="M1529" s="6">
        <f>+[2]일자별!S1529</f>
        <v>0</v>
      </c>
      <c r="N1529" s="366">
        <v>0</v>
      </c>
    </row>
    <row r="1530" spans="1:19" ht="21.75" hidden="1" customHeight="1" x14ac:dyDescent="0.25">
      <c r="A1530" s="2">
        <v>2024</v>
      </c>
      <c r="B1530" s="2">
        <v>12</v>
      </c>
      <c r="C1530" s="2" t="s">
        <v>158</v>
      </c>
      <c r="D1530" s="3">
        <f t="shared" si="23"/>
        <v>45639</v>
      </c>
      <c r="E1530" s="7">
        <f>+[2]일자별!E1530</f>
        <v>0</v>
      </c>
      <c r="F1530" s="7">
        <f>+[2]일자별!F1530</f>
        <v>0</v>
      </c>
      <c r="G1530" s="7">
        <f>+[2]일자별!G1530</f>
        <v>0</v>
      </c>
      <c r="H1530" s="7">
        <f>+[2]일자별!H1530</f>
        <v>0</v>
      </c>
      <c r="I1530" s="1">
        <f>+[2]일자별!I1530</f>
        <v>476</v>
      </c>
      <c r="J1530" s="116" t="s">
        <v>165</v>
      </c>
      <c r="K1530" s="6">
        <f>+[2]일자별!Q1530</f>
        <v>0</v>
      </c>
      <c r="L1530" s="6">
        <f>+[2]일자별!R1530</f>
        <v>0</v>
      </c>
      <c r="M1530" s="6">
        <f>+[2]일자별!S1530</f>
        <v>0</v>
      </c>
      <c r="N1530" s="366">
        <v>0</v>
      </c>
    </row>
    <row r="1531" spans="1:19" ht="21.75" hidden="1" customHeight="1" x14ac:dyDescent="0.25">
      <c r="A1531" s="2">
        <v>2024</v>
      </c>
      <c r="B1531" s="2">
        <v>12</v>
      </c>
      <c r="C1531" s="2" t="s">
        <v>159</v>
      </c>
      <c r="D1531" s="3">
        <f t="shared" si="23"/>
        <v>45640</v>
      </c>
      <c r="E1531" s="7">
        <f>+[2]일자별!E1531</f>
        <v>0</v>
      </c>
      <c r="F1531" s="7">
        <f>+[2]일자별!F1531</f>
        <v>0</v>
      </c>
      <c r="G1531" s="7">
        <f>+[2]일자별!G1531</f>
        <v>0</v>
      </c>
      <c r="H1531" s="7">
        <f>+[2]일자별!H1531</f>
        <v>0</v>
      </c>
      <c r="I1531" s="1">
        <f>+[2]일자별!I1531</f>
        <v>477</v>
      </c>
      <c r="J1531" s="116" t="s">
        <v>164</v>
      </c>
      <c r="K1531" s="6">
        <f>+[2]일자별!Q1531</f>
        <v>0</v>
      </c>
      <c r="L1531" s="6">
        <f>+[2]일자별!R1531</f>
        <v>0</v>
      </c>
      <c r="M1531" s="6">
        <f>+[2]일자별!S1531</f>
        <v>0</v>
      </c>
      <c r="N1531" s="366">
        <v>0</v>
      </c>
    </row>
    <row r="1532" spans="1:19" ht="21.75" hidden="1" customHeight="1" x14ac:dyDescent="0.25">
      <c r="A1532" s="2">
        <v>2024</v>
      </c>
      <c r="B1532" s="2">
        <v>12</v>
      </c>
      <c r="C1532" s="2" t="s">
        <v>160</v>
      </c>
      <c r="D1532" s="3">
        <f t="shared" si="23"/>
        <v>45641</v>
      </c>
      <c r="E1532" s="7">
        <f>+[2]일자별!E1532</f>
        <v>0</v>
      </c>
      <c r="F1532" s="7">
        <f>+[2]일자별!F1532</f>
        <v>0</v>
      </c>
      <c r="G1532" s="7">
        <f>+[2]일자별!G1532</f>
        <v>0</v>
      </c>
      <c r="H1532" s="7">
        <f>+[2]일자별!H1532</f>
        <v>0</v>
      </c>
      <c r="I1532" s="1">
        <f>+[2]일자별!I1532</f>
        <v>478</v>
      </c>
      <c r="J1532" s="116" t="s">
        <v>164</v>
      </c>
      <c r="K1532" s="6">
        <f>+[2]일자별!Q1532</f>
        <v>0</v>
      </c>
      <c r="L1532" s="6">
        <f>+[2]일자별!R1532</f>
        <v>0</v>
      </c>
      <c r="M1532" s="6">
        <f>+[2]일자별!S1532</f>
        <v>0</v>
      </c>
      <c r="N1532" s="366">
        <v>0</v>
      </c>
    </row>
    <row r="1533" spans="1:19" ht="21.75" hidden="1" customHeight="1" x14ac:dyDescent="0.25">
      <c r="A1533" s="2">
        <v>2024</v>
      </c>
      <c r="B1533" s="2">
        <v>12</v>
      </c>
      <c r="C1533" s="2" t="s">
        <v>161</v>
      </c>
      <c r="D1533" s="3">
        <f t="shared" si="23"/>
        <v>45642</v>
      </c>
      <c r="E1533" s="7">
        <f>+[2]일자별!E1533</f>
        <v>0</v>
      </c>
      <c r="F1533" s="7">
        <f>+[2]일자별!F1533</f>
        <v>0</v>
      </c>
      <c r="G1533" s="7">
        <f>+[2]일자별!G1533</f>
        <v>0</v>
      </c>
      <c r="H1533" s="7">
        <f>+[2]일자별!H1533</f>
        <v>0</v>
      </c>
      <c r="I1533" s="1">
        <f>+[2]일자별!I1533</f>
        <v>479</v>
      </c>
      <c r="J1533" s="116" t="s">
        <v>165</v>
      </c>
      <c r="K1533" s="6">
        <f>+[2]일자별!Q1533</f>
        <v>0</v>
      </c>
      <c r="L1533" s="6">
        <f>+[2]일자별!R1533</f>
        <v>0</v>
      </c>
      <c r="M1533" s="6">
        <f>+[2]일자별!S1533</f>
        <v>0</v>
      </c>
      <c r="N1533" s="366">
        <v>0</v>
      </c>
    </row>
    <row r="1534" spans="1:19" ht="21.75" hidden="1" customHeight="1" x14ac:dyDescent="0.25">
      <c r="A1534" s="2">
        <v>2024</v>
      </c>
      <c r="B1534" s="2">
        <v>12</v>
      </c>
      <c r="C1534" s="2" t="s">
        <v>162</v>
      </c>
      <c r="D1534" s="3">
        <f t="shared" si="23"/>
        <v>45643</v>
      </c>
      <c r="E1534" s="7">
        <f>+[2]일자별!E1534</f>
        <v>0</v>
      </c>
      <c r="F1534" s="7">
        <f>+[2]일자별!F1534</f>
        <v>0</v>
      </c>
      <c r="G1534" s="7">
        <f>+[2]일자별!G1534</f>
        <v>0</v>
      </c>
      <c r="H1534" s="7">
        <f>+[2]일자별!H1534</f>
        <v>0</v>
      </c>
      <c r="I1534" s="1">
        <f>+[2]일자별!I1534</f>
        <v>480</v>
      </c>
      <c r="J1534" s="116" t="s">
        <v>165</v>
      </c>
      <c r="K1534" s="6">
        <f>+[2]일자별!Q1534</f>
        <v>0</v>
      </c>
      <c r="L1534" s="6">
        <f>+[2]일자별!R1534</f>
        <v>0</v>
      </c>
      <c r="M1534" s="6">
        <f>+[2]일자별!S1534</f>
        <v>0</v>
      </c>
      <c r="N1534" s="366">
        <v>0</v>
      </c>
    </row>
    <row r="1535" spans="1:19" ht="21.75" hidden="1" customHeight="1" x14ac:dyDescent="0.25">
      <c r="A1535" s="2">
        <v>2024</v>
      </c>
      <c r="B1535" s="2">
        <v>12</v>
      </c>
      <c r="C1535" s="2" t="s">
        <v>163</v>
      </c>
      <c r="D1535" s="3">
        <f t="shared" si="23"/>
        <v>45644</v>
      </c>
      <c r="E1535" s="7">
        <f>+[2]일자별!E1535</f>
        <v>0</v>
      </c>
      <c r="F1535" s="7">
        <f>+[2]일자별!F1535</f>
        <v>0</v>
      </c>
      <c r="G1535" s="7">
        <f>+[2]일자별!G1535</f>
        <v>0</v>
      </c>
      <c r="H1535" s="7">
        <f>+[2]일자별!H1535</f>
        <v>0</v>
      </c>
      <c r="I1535" s="1">
        <f>+[2]일자별!I1535</f>
        <v>481</v>
      </c>
      <c r="J1535" s="116" t="s">
        <v>165</v>
      </c>
      <c r="K1535" s="6">
        <f>+[2]일자별!Q1535</f>
        <v>0</v>
      </c>
      <c r="L1535" s="6">
        <f>+[2]일자별!R1535</f>
        <v>0</v>
      </c>
      <c r="M1535" s="6">
        <f>+[2]일자별!S1535</f>
        <v>0</v>
      </c>
      <c r="N1535" s="366">
        <v>0</v>
      </c>
      <c r="S1535" s="1">
        <v>11</v>
      </c>
    </row>
    <row r="1536" spans="1:19" ht="21.75" hidden="1" customHeight="1" x14ac:dyDescent="0.25">
      <c r="A1536" s="2">
        <v>2024</v>
      </c>
      <c r="B1536" s="2">
        <v>12</v>
      </c>
      <c r="C1536" s="2" t="s">
        <v>157</v>
      </c>
      <c r="D1536" s="3">
        <f t="shared" si="23"/>
        <v>45645</v>
      </c>
      <c r="E1536" s="7">
        <f>+[2]일자별!E1536</f>
        <v>0</v>
      </c>
      <c r="F1536" s="7">
        <f>+[2]일자별!F1536</f>
        <v>0</v>
      </c>
      <c r="G1536" s="7">
        <f>+[2]일자별!G1536</f>
        <v>0</v>
      </c>
      <c r="H1536" s="7">
        <f>+[2]일자별!H1536</f>
        <v>0</v>
      </c>
      <c r="I1536" s="1">
        <f>+[2]일자별!I1536</f>
        <v>482</v>
      </c>
      <c r="J1536" s="116" t="s">
        <v>165</v>
      </c>
      <c r="K1536" s="6">
        <f>+[2]일자별!Q1536</f>
        <v>0</v>
      </c>
      <c r="L1536" s="6">
        <f>+[2]일자별!R1536</f>
        <v>0</v>
      </c>
      <c r="M1536" s="6">
        <f>+[2]일자별!S1536</f>
        <v>0</v>
      </c>
      <c r="N1536" s="366">
        <v>0</v>
      </c>
    </row>
    <row r="1537" spans="1:14" ht="21.75" hidden="1" customHeight="1" x14ac:dyDescent="0.25">
      <c r="A1537" s="2">
        <v>2024</v>
      </c>
      <c r="B1537" s="2">
        <v>12</v>
      </c>
      <c r="C1537" s="2" t="s">
        <v>158</v>
      </c>
      <c r="D1537" s="3">
        <f t="shared" si="23"/>
        <v>45646</v>
      </c>
      <c r="E1537" s="7">
        <f>+[2]일자별!E1537</f>
        <v>0</v>
      </c>
      <c r="F1537" s="7">
        <f>+[2]일자별!F1537</f>
        <v>0</v>
      </c>
      <c r="G1537" s="7">
        <f>+[2]일자별!G1537</f>
        <v>0</v>
      </c>
      <c r="H1537" s="7">
        <f>+[2]일자별!H1537</f>
        <v>0</v>
      </c>
      <c r="I1537" s="1">
        <f>+[2]일자별!I1537</f>
        <v>483</v>
      </c>
      <c r="J1537" s="116" t="s">
        <v>165</v>
      </c>
      <c r="K1537" s="6">
        <f>+[2]일자별!Q1537</f>
        <v>0</v>
      </c>
      <c r="L1537" s="6">
        <f>+[2]일자별!R1537</f>
        <v>0</v>
      </c>
      <c r="M1537" s="6">
        <f>+[2]일자별!S1537</f>
        <v>0</v>
      </c>
      <c r="N1537" s="366">
        <v>0</v>
      </c>
    </row>
    <row r="1538" spans="1:14" ht="21.75" hidden="1" customHeight="1" x14ac:dyDescent="0.25">
      <c r="A1538" s="2">
        <v>2024</v>
      </c>
      <c r="B1538" s="2">
        <v>12</v>
      </c>
      <c r="C1538" s="2" t="s">
        <v>159</v>
      </c>
      <c r="D1538" s="3">
        <f t="shared" si="23"/>
        <v>45647</v>
      </c>
      <c r="E1538" s="7">
        <f>+[2]일자별!E1538</f>
        <v>0</v>
      </c>
      <c r="F1538" s="7">
        <f>+[2]일자별!F1538</f>
        <v>0</v>
      </c>
      <c r="G1538" s="7">
        <f>+[2]일자별!G1538</f>
        <v>0</v>
      </c>
      <c r="H1538" s="7">
        <f>+[2]일자별!H1538</f>
        <v>0</v>
      </c>
      <c r="I1538" s="1">
        <f>+[2]일자별!I1538</f>
        <v>484</v>
      </c>
      <c r="J1538" s="116" t="s">
        <v>164</v>
      </c>
      <c r="K1538" s="6">
        <f>+[2]일자별!Q1538</f>
        <v>0</v>
      </c>
      <c r="L1538" s="6">
        <f>+[2]일자별!R1538</f>
        <v>0</v>
      </c>
      <c r="M1538" s="6">
        <f>+[2]일자별!S1538</f>
        <v>0</v>
      </c>
      <c r="N1538" s="366">
        <v>0</v>
      </c>
    </row>
    <row r="1539" spans="1:14" ht="21.75" hidden="1" customHeight="1" x14ac:dyDescent="0.25">
      <c r="A1539" s="2">
        <v>2024</v>
      </c>
      <c r="B1539" s="2">
        <v>12</v>
      </c>
      <c r="C1539" s="2" t="s">
        <v>160</v>
      </c>
      <c r="D1539" s="3">
        <f t="shared" si="23"/>
        <v>45648</v>
      </c>
      <c r="E1539" s="7">
        <f>+[2]일자별!E1539</f>
        <v>0</v>
      </c>
      <c r="F1539" s="7">
        <f>+[2]일자별!F1539</f>
        <v>0</v>
      </c>
      <c r="G1539" s="7">
        <f>+[2]일자별!G1539</f>
        <v>0</v>
      </c>
      <c r="H1539" s="7">
        <f>+[2]일자별!H1539</f>
        <v>0</v>
      </c>
      <c r="I1539" s="1">
        <f>+[2]일자별!I1539</f>
        <v>485</v>
      </c>
      <c r="J1539" s="116" t="s">
        <v>164</v>
      </c>
      <c r="K1539" s="6">
        <f>+[2]일자별!Q1539</f>
        <v>0</v>
      </c>
      <c r="L1539" s="6">
        <f>+[2]일자별!R1539</f>
        <v>0</v>
      </c>
      <c r="M1539" s="6">
        <f>+[2]일자별!S1539</f>
        <v>0</v>
      </c>
      <c r="N1539" s="366">
        <v>0</v>
      </c>
    </row>
    <row r="1540" spans="1:14" ht="21.75" hidden="1" customHeight="1" x14ac:dyDescent="0.25">
      <c r="A1540" s="2">
        <v>2024</v>
      </c>
      <c r="B1540" s="2">
        <v>12</v>
      </c>
      <c r="C1540" s="2" t="s">
        <v>161</v>
      </c>
      <c r="D1540" s="3">
        <f t="shared" si="23"/>
        <v>45649</v>
      </c>
      <c r="E1540" s="7">
        <f>+[2]일자별!E1540</f>
        <v>0</v>
      </c>
      <c r="F1540" s="7">
        <f>+[2]일자별!F1540</f>
        <v>0</v>
      </c>
      <c r="G1540" s="7">
        <f>+[2]일자별!G1540</f>
        <v>0</v>
      </c>
      <c r="H1540" s="7">
        <f>+[2]일자별!H1540</f>
        <v>0</v>
      </c>
      <c r="I1540" s="1">
        <f>+[2]일자별!I1540</f>
        <v>486</v>
      </c>
      <c r="J1540" s="116" t="s">
        <v>165</v>
      </c>
      <c r="K1540" s="6">
        <f>+[2]일자별!Q1540</f>
        <v>0</v>
      </c>
      <c r="L1540" s="6">
        <f>+[2]일자별!R1540</f>
        <v>0</v>
      </c>
      <c r="M1540" s="6">
        <f>+[2]일자별!S1540</f>
        <v>0</v>
      </c>
      <c r="N1540" s="366">
        <v>0</v>
      </c>
    </row>
    <row r="1541" spans="1:14" ht="21.75" hidden="1" customHeight="1" x14ac:dyDescent="0.25">
      <c r="A1541" s="2">
        <v>2024</v>
      </c>
      <c r="B1541" s="2">
        <v>12</v>
      </c>
      <c r="C1541" s="2" t="s">
        <v>162</v>
      </c>
      <c r="D1541" s="3">
        <f t="shared" si="23"/>
        <v>45650</v>
      </c>
      <c r="E1541" s="7">
        <f>+[2]일자별!E1541</f>
        <v>0</v>
      </c>
      <c r="F1541" s="7">
        <f>+[2]일자별!F1541</f>
        <v>0</v>
      </c>
      <c r="G1541" s="7">
        <f>+[2]일자별!G1541</f>
        <v>0</v>
      </c>
      <c r="H1541" s="7">
        <f>+[2]일자별!H1541</f>
        <v>0</v>
      </c>
      <c r="I1541" s="1">
        <f>+[2]일자별!I1541</f>
        <v>487</v>
      </c>
      <c r="J1541" s="116" t="s">
        <v>165</v>
      </c>
      <c r="K1541" s="6">
        <f>+[2]일자별!Q1541</f>
        <v>0</v>
      </c>
      <c r="L1541" s="6">
        <f>+[2]일자별!R1541</f>
        <v>0</v>
      </c>
      <c r="M1541" s="6">
        <f>+[2]일자별!S1541</f>
        <v>0</v>
      </c>
      <c r="N1541" s="366">
        <v>0</v>
      </c>
    </row>
    <row r="1542" spans="1:14" ht="21.75" hidden="1" customHeight="1" x14ac:dyDescent="0.25">
      <c r="A1542" s="2">
        <v>2024</v>
      </c>
      <c r="B1542" s="2">
        <v>12</v>
      </c>
      <c r="C1542" s="2" t="s">
        <v>163</v>
      </c>
      <c r="D1542" s="3">
        <f t="shared" si="23"/>
        <v>45651</v>
      </c>
      <c r="E1542" s="7">
        <f>+[2]일자별!E1542</f>
        <v>0</v>
      </c>
      <c r="F1542" s="7">
        <f>+[2]일자별!F1542</f>
        <v>0</v>
      </c>
      <c r="G1542" s="7">
        <f>+[2]일자별!G1542</f>
        <v>0</v>
      </c>
      <c r="H1542" s="7">
        <f>+[2]일자별!H1542</f>
        <v>0</v>
      </c>
      <c r="I1542" s="1">
        <f>+[2]일자별!I1542</f>
        <v>488</v>
      </c>
      <c r="J1542" s="116" t="s">
        <v>165</v>
      </c>
      <c r="K1542" s="6">
        <f>+[2]일자별!Q1542</f>
        <v>0</v>
      </c>
      <c r="L1542" s="6">
        <f>+[2]일자별!R1542</f>
        <v>0</v>
      </c>
      <c r="M1542" s="6">
        <f>+[2]일자별!S1542</f>
        <v>0</v>
      </c>
      <c r="N1542" s="366">
        <v>0</v>
      </c>
    </row>
    <row r="1543" spans="1:14" ht="21.75" hidden="1" customHeight="1" x14ac:dyDescent="0.25">
      <c r="A1543" s="2">
        <v>2024</v>
      </c>
      <c r="B1543" s="2">
        <v>12</v>
      </c>
      <c r="C1543" s="2" t="s">
        <v>157</v>
      </c>
      <c r="D1543" s="3">
        <f t="shared" si="23"/>
        <v>45652</v>
      </c>
      <c r="E1543" s="7">
        <f>+[2]일자별!E1543</f>
        <v>0</v>
      </c>
      <c r="F1543" s="7">
        <f>+[2]일자별!F1543</f>
        <v>0</v>
      </c>
      <c r="G1543" s="7">
        <f>+[2]일자별!G1543</f>
        <v>0</v>
      </c>
      <c r="H1543" s="7">
        <f>+[2]일자별!H1543</f>
        <v>0</v>
      </c>
      <c r="I1543" s="1">
        <f>+[2]일자별!I1543</f>
        <v>489</v>
      </c>
      <c r="J1543" s="116" t="s">
        <v>165</v>
      </c>
      <c r="K1543" s="6">
        <f>+[2]일자별!Q1543</f>
        <v>0</v>
      </c>
      <c r="L1543" s="6">
        <f>+[2]일자별!R1543</f>
        <v>0</v>
      </c>
      <c r="M1543" s="6">
        <f>+[2]일자별!S1543</f>
        <v>0</v>
      </c>
      <c r="N1543" s="366">
        <v>0</v>
      </c>
    </row>
    <row r="1544" spans="1:14" ht="21.75" hidden="1" customHeight="1" x14ac:dyDescent="0.25">
      <c r="A1544" s="2">
        <v>2024</v>
      </c>
      <c r="B1544" s="2">
        <v>12</v>
      </c>
      <c r="C1544" s="2" t="s">
        <v>158</v>
      </c>
      <c r="D1544" s="3">
        <f t="shared" si="23"/>
        <v>45653</v>
      </c>
      <c r="E1544" s="7">
        <f>+[2]일자별!E1544</f>
        <v>0</v>
      </c>
      <c r="F1544" s="7">
        <f>+[2]일자별!F1544</f>
        <v>0</v>
      </c>
      <c r="G1544" s="7">
        <f>+[2]일자별!G1544</f>
        <v>0</v>
      </c>
      <c r="H1544" s="7">
        <f>+[2]일자별!H1544</f>
        <v>0</v>
      </c>
      <c r="I1544" s="1">
        <f>+[2]일자별!I1544</f>
        <v>490</v>
      </c>
      <c r="J1544" s="116" t="s">
        <v>165</v>
      </c>
      <c r="K1544" s="6">
        <f>+[2]일자별!Q1544</f>
        <v>0</v>
      </c>
      <c r="L1544" s="6">
        <f>+[2]일자별!R1544</f>
        <v>0</v>
      </c>
      <c r="M1544" s="6">
        <f>+[2]일자별!S1544</f>
        <v>0</v>
      </c>
      <c r="N1544" s="366">
        <v>0</v>
      </c>
    </row>
    <row r="1545" spans="1:14" ht="21.75" hidden="1" customHeight="1" x14ac:dyDescent="0.25">
      <c r="A1545" s="2">
        <v>2024</v>
      </c>
      <c r="B1545" s="2">
        <v>12</v>
      </c>
      <c r="C1545" s="2" t="s">
        <v>159</v>
      </c>
      <c r="D1545" s="3">
        <f t="shared" si="23"/>
        <v>45654</v>
      </c>
      <c r="E1545" s="7">
        <f>+[2]일자별!E1545</f>
        <v>0</v>
      </c>
      <c r="F1545" s="7">
        <f>+[2]일자별!F1545</f>
        <v>0</v>
      </c>
      <c r="G1545" s="7">
        <f>+[2]일자별!G1545</f>
        <v>0</v>
      </c>
      <c r="H1545" s="7">
        <f>+[2]일자별!H1545</f>
        <v>0</v>
      </c>
      <c r="I1545" s="1">
        <f>+[2]일자별!I1545</f>
        <v>491</v>
      </c>
      <c r="J1545" s="116" t="s">
        <v>164</v>
      </c>
      <c r="K1545" s="6">
        <f>+[2]일자별!Q1545</f>
        <v>0</v>
      </c>
      <c r="L1545" s="6">
        <f>+[2]일자별!R1545</f>
        <v>0</v>
      </c>
      <c r="M1545" s="6">
        <f>+[2]일자별!S1545</f>
        <v>0</v>
      </c>
      <c r="N1545" s="366">
        <v>0</v>
      </c>
    </row>
    <row r="1546" spans="1:14" ht="21.75" hidden="1" customHeight="1" x14ac:dyDescent="0.25">
      <c r="A1546" s="2">
        <v>2024</v>
      </c>
      <c r="B1546" s="2">
        <v>12</v>
      </c>
      <c r="C1546" s="2" t="s">
        <v>160</v>
      </c>
      <c r="D1546" s="3">
        <f t="shared" si="23"/>
        <v>45655</v>
      </c>
      <c r="E1546" s="7">
        <f>+[2]일자별!E1546</f>
        <v>0</v>
      </c>
      <c r="F1546" s="7">
        <f>+[2]일자별!F1546</f>
        <v>0</v>
      </c>
      <c r="G1546" s="7">
        <f>+[2]일자별!G1546</f>
        <v>0</v>
      </c>
      <c r="H1546" s="7">
        <f>+[2]일자별!H1546</f>
        <v>0</v>
      </c>
      <c r="I1546" s="1">
        <f>+[2]일자별!I1546</f>
        <v>492</v>
      </c>
      <c r="J1546" s="116" t="s">
        <v>164</v>
      </c>
      <c r="K1546" s="6">
        <f>+[2]일자별!Q1546</f>
        <v>0</v>
      </c>
      <c r="L1546" s="6">
        <f>+[2]일자별!R1546</f>
        <v>0</v>
      </c>
      <c r="M1546" s="6">
        <f>+[2]일자별!S1546</f>
        <v>0</v>
      </c>
      <c r="N1546" s="366">
        <v>0</v>
      </c>
    </row>
    <row r="1547" spans="1:14" ht="21.75" hidden="1" customHeight="1" x14ac:dyDescent="0.25">
      <c r="A1547" s="2">
        <v>2024</v>
      </c>
      <c r="B1547" s="2">
        <v>12</v>
      </c>
      <c r="C1547" s="2" t="s">
        <v>161</v>
      </c>
      <c r="D1547" s="3">
        <f t="shared" si="23"/>
        <v>45656</v>
      </c>
      <c r="E1547" s="7">
        <f>+[2]일자별!E1547</f>
        <v>0</v>
      </c>
      <c r="F1547" s="7">
        <f>+[2]일자별!F1547</f>
        <v>0</v>
      </c>
      <c r="G1547" s="7">
        <f>+[2]일자별!G1547</f>
        <v>0</v>
      </c>
      <c r="H1547" s="7">
        <f>+[2]일자별!H1547</f>
        <v>0</v>
      </c>
      <c r="I1547" s="1">
        <f>+[2]일자별!I1547</f>
        <v>493</v>
      </c>
      <c r="J1547" s="116" t="s">
        <v>165</v>
      </c>
      <c r="K1547" s="6">
        <f>+[2]일자별!Q1547</f>
        <v>0</v>
      </c>
      <c r="L1547" s="6">
        <f>+[2]일자별!R1547</f>
        <v>0</v>
      </c>
      <c r="M1547" s="6">
        <f>+[2]일자별!S1547</f>
        <v>0</v>
      </c>
      <c r="N1547" s="366">
        <v>0</v>
      </c>
    </row>
    <row r="1548" spans="1:14" ht="21.75" hidden="1" customHeight="1" x14ac:dyDescent="0.25">
      <c r="A1548" s="2">
        <v>2024</v>
      </c>
      <c r="B1548" s="2">
        <v>12</v>
      </c>
      <c r="C1548" s="2" t="s">
        <v>162</v>
      </c>
      <c r="D1548" s="3">
        <f t="shared" si="23"/>
        <v>45657</v>
      </c>
      <c r="E1548" s="7">
        <f>+[2]일자별!E1548</f>
        <v>0</v>
      </c>
      <c r="F1548" s="7">
        <f>+[2]일자별!F1548</f>
        <v>0</v>
      </c>
      <c r="G1548" s="7">
        <f>+[2]일자별!G1548</f>
        <v>0</v>
      </c>
      <c r="H1548" s="7">
        <f>+[2]일자별!H1548</f>
        <v>0</v>
      </c>
      <c r="I1548" s="1">
        <f>+[2]일자별!I1548</f>
        <v>494</v>
      </c>
      <c r="J1548" s="116" t="s">
        <v>165</v>
      </c>
      <c r="K1548" s="6">
        <f>+[2]일자별!Q1548</f>
        <v>0</v>
      </c>
      <c r="L1548" s="6">
        <f>+[2]일자별!R1548</f>
        <v>0</v>
      </c>
      <c r="M1548" s="6">
        <f>+[2]일자별!S1548</f>
        <v>0</v>
      </c>
      <c r="N1548" s="366">
        <v>0</v>
      </c>
    </row>
    <row r="1549" spans="1:14" ht="21.75" customHeight="1" x14ac:dyDescent="0.25">
      <c r="D1549" s="3"/>
    </row>
    <row r="1550" spans="1:14" ht="21.75" customHeight="1" x14ac:dyDescent="0.25">
      <c r="D1550" s="3"/>
    </row>
    <row r="1551" spans="1:14" ht="21.75" customHeight="1" x14ac:dyDescent="0.25">
      <c r="D1551" s="3"/>
    </row>
    <row r="1552" spans="1:14" ht="21.75" customHeight="1" x14ac:dyDescent="0.25">
      <c r="D1552" s="3"/>
    </row>
    <row r="1553" spans="4:4" ht="21.75" customHeight="1" x14ac:dyDescent="0.25">
      <c r="D1553" s="3"/>
    </row>
    <row r="1554" spans="4:4" ht="21.75" customHeight="1" x14ac:dyDescent="0.25">
      <c r="D1554" s="3"/>
    </row>
    <row r="1555" spans="4:4" ht="21.75" customHeight="1" x14ac:dyDescent="0.25">
      <c r="D1555" s="3"/>
    </row>
    <row r="1556" spans="4:4" ht="21.75" customHeight="1" x14ac:dyDescent="0.25">
      <c r="D1556" s="3"/>
    </row>
    <row r="1557" spans="4:4" ht="21.75" customHeight="1" x14ac:dyDescent="0.25">
      <c r="D1557" s="3"/>
    </row>
    <row r="1558" spans="4:4" ht="21.75" customHeight="1" x14ac:dyDescent="0.25">
      <c r="D1558" s="3"/>
    </row>
    <row r="1559" spans="4:4" ht="21.75" customHeight="1" x14ac:dyDescent="0.25">
      <c r="D1559" s="3"/>
    </row>
    <row r="1560" spans="4:4" ht="21.75" customHeight="1" x14ac:dyDescent="0.25">
      <c r="D1560" s="3"/>
    </row>
    <row r="1561" spans="4:4" ht="21.75" customHeight="1" x14ac:dyDescent="0.25">
      <c r="D1561" s="3"/>
    </row>
    <row r="1562" spans="4:4" ht="21.75" customHeight="1" x14ac:dyDescent="0.25">
      <c r="D1562" s="3"/>
    </row>
    <row r="1563" spans="4:4" ht="21.75" customHeight="1" x14ac:dyDescent="0.25">
      <c r="D1563" s="3"/>
    </row>
    <row r="1564" spans="4:4" ht="21.75" customHeight="1" x14ac:dyDescent="0.25">
      <c r="D1564" s="3"/>
    </row>
    <row r="1565" spans="4:4" ht="21.75" customHeight="1" x14ac:dyDescent="0.25">
      <c r="D1565" s="3"/>
    </row>
    <row r="1566" spans="4:4" ht="21.75" customHeight="1" x14ac:dyDescent="0.25">
      <c r="D1566" s="3"/>
    </row>
    <row r="1567" spans="4:4" ht="21.75" customHeight="1" x14ac:dyDescent="0.25">
      <c r="D1567" s="3"/>
    </row>
    <row r="1568" spans="4:4" ht="21.75" customHeight="1" x14ac:dyDescent="0.25">
      <c r="D1568" s="3"/>
    </row>
    <row r="1569" spans="4:4" ht="21.75" customHeight="1" x14ac:dyDescent="0.25">
      <c r="D1569" s="3"/>
    </row>
    <row r="1570" spans="4:4" ht="21.75" customHeight="1" x14ac:dyDescent="0.25">
      <c r="D1570" s="3"/>
    </row>
    <row r="1571" spans="4:4" ht="21.75" customHeight="1" x14ac:dyDescent="0.25">
      <c r="D1571" s="3"/>
    </row>
    <row r="1572" spans="4:4" ht="21.75" customHeight="1" x14ac:dyDescent="0.25">
      <c r="D1572" s="3"/>
    </row>
    <row r="1573" spans="4:4" ht="21.75" customHeight="1" x14ac:dyDescent="0.25">
      <c r="D1573" s="3"/>
    </row>
    <row r="1574" spans="4:4" ht="21.75" customHeight="1" x14ac:dyDescent="0.25">
      <c r="D1574" s="3"/>
    </row>
    <row r="1575" spans="4:4" ht="21.75" customHeight="1" x14ac:dyDescent="0.25">
      <c r="D1575" s="3"/>
    </row>
    <row r="1576" spans="4:4" ht="21.75" customHeight="1" x14ac:dyDescent="0.25">
      <c r="D1576" s="3"/>
    </row>
    <row r="1577" spans="4:4" ht="21.75" customHeight="1" x14ac:dyDescent="0.25">
      <c r="D1577" s="3"/>
    </row>
    <row r="1578" spans="4:4" ht="21.75" customHeight="1" x14ac:dyDescent="0.25">
      <c r="D1578" s="3"/>
    </row>
    <row r="1579" spans="4:4" ht="21.75" customHeight="1" x14ac:dyDescent="0.25">
      <c r="D1579" s="3"/>
    </row>
    <row r="1580" spans="4:4" ht="21.75" customHeight="1" x14ac:dyDescent="0.25">
      <c r="D1580" s="3"/>
    </row>
    <row r="1581" spans="4:4" ht="21.75" customHeight="1" x14ac:dyDescent="0.25">
      <c r="D1581" s="3"/>
    </row>
  </sheetData>
  <autoFilter ref="A2:J1548">
    <filterColumn colId="5">
      <filters>
        <filter val="마르지엘라"/>
        <filter val="오스틴 리"/>
        <filter val="제이알"/>
      </filters>
    </filterColumn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3" tint="-0.249977111117893"/>
    <pageSetUpPr fitToPage="1"/>
  </sheetPr>
  <dimension ref="B39:J55"/>
  <sheetViews>
    <sheetView showGridLines="0" workbookViewId="0"/>
  </sheetViews>
  <sheetFormatPr defaultRowHeight="12.75" x14ac:dyDescent="0.25"/>
  <cols>
    <col min="1" max="1" width="31" bestFit="1" customWidth="1"/>
  </cols>
  <sheetData>
    <row r="39" spans="10:10" x14ac:dyDescent="0.25">
      <c r="J39" s="151"/>
    </row>
    <row r="55" spans="2:10" x14ac:dyDescent="0.25">
      <c r="B55" s="112"/>
      <c r="C55" s="112"/>
      <c r="D55" s="112"/>
      <c r="E55" s="112"/>
      <c r="F55" s="112"/>
      <c r="G55" s="112"/>
      <c r="H55" s="112"/>
      <c r="I55" s="112"/>
      <c r="J55" s="112"/>
    </row>
  </sheetData>
  <phoneticPr fontId="2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4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N57"/>
  <sheetViews>
    <sheetView showGridLines="0" workbookViewId="0"/>
  </sheetViews>
  <sheetFormatPr defaultColWidth="14" defaultRowHeight="29.25" customHeight="1" outlineLevelRow="1" x14ac:dyDescent="0.25"/>
  <cols>
    <col min="1" max="1" width="7.5703125" style="23" customWidth="1"/>
    <col min="2" max="10" width="14.42578125" style="39" customWidth="1"/>
    <col min="11" max="11" width="6.140625" style="23" customWidth="1"/>
    <col min="12" max="16384" width="14" style="23"/>
  </cols>
  <sheetData>
    <row r="1" spans="1:14" ht="61.5" customHeight="1" x14ac:dyDescent="0.25">
      <c r="A1" s="35" t="s">
        <v>24</v>
      </c>
      <c r="B1" s="35"/>
      <c r="C1" s="36"/>
      <c r="D1" s="36"/>
      <c r="E1" s="36"/>
      <c r="F1" s="36"/>
      <c r="G1" s="36"/>
      <c r="H1" s="36"/>
      <c r="I1" s="36"/>
      <c r="J1" s="36"/>
      <c r="K1" s="36"/>
      <c r="M1" s="25" t="s">
        <v>21</v>
      </c>
      <c r="N1" s="26">
        <v>45365</v>
      </c>
    </row>
    <row r="2" spans="1:14" ht="21" customHeight="1" x14ac:dyDescent="0.25">
      <c r="B2" s="37" t="str">
        <f>+TEXT(N1,"yyyy-mm-dd")&amp;TEXT(F7,"   (#,###일차)")</f>
        <v>2024-03-14   (20일차)</v>
      </c>
      <c r="C2" s="38"/>
      <c r="D2" s="38"/>
      <c r="E2" s="38"/>
      <c r="F2" s="38"/>
      <c r="G2" s="38"/>
      <c r="H2" s="38"/>
      <c r="I2" s="38"/>
      <c r="J2" s="38"/>
    </row>
    <row r="3" spans="1:14" ht="29.25" customHeight="1" x14ac:dyDescent="0.25">
      <c r="A3" s="127" t="s">
        <v>26</v>
      </c>
      <c r="I3" s="40"/>
      <c r="J3" s="40" t="s">
        <v>25</v>
      </c>
    </row>
    <row r="4" spans="1:14" ht="29.25" customHeight="1" x14ac:dyDescent="0.25">
      <c r="B4" s="83" t="s">
        <v>46</v>
      </c>
      <c r="C4" s="84"/>
      <c r="D4" s="85" t="e">
        <f>+INDEX(#REF!,$F$7)</f>
        <v>#REF!</v>
      </c>
      <c r="E4" s="86" t="s">
        <v>40</v>
      </c>
      <c r="F4" s="87">
        <v>40000</v>
      </c>
      <c r="G4" s="88" t="s">
        <v>39</v>
      </c>
      <c r="H4" s="89">
        <f>+F7/$E$7</f>
        <v>0.21505376344086022</v>
      </c>
      <c r="I4" s="90" t="s">
        <v>38</v>
      </c>
      <c r="J4" s="91" t="e">
        <f ca="1">+H7/F4</f>
        <v>#REF!</v>
      </c>
    </row>
    <row r="5" spans="1:14" ht="17.25" customHeight="1" x14ac:dyDescent="0.25">
      <c r="B5" s="139"/>
      <c r="C5" s="139"/>
      <c r="D5" s="139"/>
      <c r="E5" s="139"/>
      <c r="F5" s="139"/>
      <c r="G5" s="139"/>
      <c r="H5" s="139"/>
      <c r="I5" s="139"/>
      <c r="J5" s="139"/>
    </row>
    <row r="6" spans="1:14" ht="29.25" customHeight="1" x14ac:dyDescent="0.25">
      <c r="B6" s="92" t="s">
        <v>18</v>
      </c>
      <c r="C6" s="93" t="s">
        <v>6</v>
      </c>
      <c r="D6" s="94" t="s">
        <v>7</v>
      </c>
      <c r="E6" s="95" t="s">
        <v>20</v>
      </c>
      <c r="F6" s="94" t="s">
        <v>17</v>
      </c>
      <c r="G6" s="96" t="s">
        <v>41</v>
      </c>
      <c r="H6" s="97" t="s">
        <v>42</v>
      </c>
      <c r="I6" s="96" t="s">
        <v>23</v>
      </c>
      <c r="J6" s="98" t="s">
        <v>45</v>
      </c>
    </row>
    <row r="7" spans="1:14" ht="25.5" customHeight="1" x14ac:dyDescent="0.25">
      <c r="B7" s="42" t="s">
        <v>22</v>
      </c>
      <c r="C7" s="61">
        <v>45346</v>
      </c>
      <c r="D7" s="61">
        <v>45438</v>
      </c>
      <c r="E7" s="30">
        <f>+D7-C7+1</f>
        <v>93</v>
      </c>
      <c r="F7" s="31">
        <f>+$N$1-$C$7+1</f>
        <v>20</v>
      </c>
      <c r="G7" s="61" t="str">
        <f>+TEXT(C7+F7-1,"yy.mm.dd") &amp;TEXT(C7+F7-1," (aaa)")</f>
        <v>24.03.14 (목)</v>
      </c>
      <c r="H7" s="120" t="e">
        <f ca="1">+SUM(OFFSET(#REF!,0,0,'일자별요약 (얼리포함)'!$F$7,1))</f>
        <v>#REF!</v>
      </c>
      <c r="I7" s="120" t="e">
        <f ca="1">+H7/F7</f>
        <v>#REF!</v>
      </c>
      <c r="J7" s="43" t="e">
        <f ca="1">+I7*E7</f>
        <v>#REF!</v>
      </c>
    </row>
    <row r="8" spans="1:14" ht="25.5" customHeight="1" x14ac:dyDescent="0.25">
      <c r="B8" s="44" t="s">
        <v>30</v>
      </c>
      <c r="C8" s="62">
        <v>45195</v>
      </c>
      <c r="D8" s="62">
        <v>45291</v>
      </c>
      <c r="E8" s="32">
        <f>+D8-C8+1</f>
        <v>97</v>
      </c>
      <c r="F8" s="33">
        <f>+F7</f>
        <v>20</v>
      </c>
      <c r="G8" s="62" t="str">
        <f>+TEXT(C8+F8-1,"yy.mm.dd") &amp; " " &amp;TEXT(C8+F8-1,"(aaa)")</f>
        <v>23.10.15 (일)</v>
      </c>
      <c r="H8" s="32" t="e">
        <f ca="1">+SUM(OFFSET(#REF!,0,0,'일자별요약 (얼리포함)'!$F$8,1))</f>
        <v>#REF!</v>
      </c>
      <c r="I8" s="32" t="e">
        <f ca="1">+H8/F8</f>
        <v>#REF!</v>
      </c>
      <c r="J8" s="45"/>
    </row>
    <row r="9" spans="1:14" ht="25.5" customHeight="1" x14ac:dyDescent="0.25">
      <c r="B9" s="46" t="s">
        <v>72</v>
      </c>
      <c r="C9" s="119" t="e">
        <f>+#REF!</f>
        <v>#REF!</v>
      </c>
      <c r="D9" s="118" t="e">
        <f>+#REF!</f>
        <v>#REF!</v>
      </c>
      <c r="E9" s="62" t="s">
        <v>71</v>
      </c>
      <c r="F9" s="119" t="e">
        <f>+#REF!</f>
        <v>#REF!</v>
      </c>
      <c r="G9" s="117" t="e">
        <f>+#REF!</f>
        <v>#REF!</v>
      </c>
      <c r="H9" s="114" t="e">
        <f ca="1">+H7-H8</f>
        <v>#REF!</v>
      </c>
      <c r="I9" s="114" t="e">
        <f ca="1">+I7-I8</f>
        <v>#REF!</v>
      </c>
      <c r="J9" s="45"/>
      <c r="L9" s="23" t="e">
        <f ca="1">+SUM(C9:F9)=H7</f>
        <v>#REF!</v>
      </c>
    </row>
    <row r="10" spans="1:14" ht="17.25" customHeight="1" x14ac:dyDescent="0.25"/>
    <row r="11" spans="1:14" ht="22.5" hidden="1" customHeight="1" outlineLevel="1" x14ac:dyDescent="0.25">
      <c r="B11" s="60" t="s">
        <v>57</v>
      </c>
    </row>
    <row r="12" spans="1:14" ht="22.5" hidden="1" customHeight="1" outlineLevel="1" x14ac:dyDescent="0.25">
      <c r="B12" s="378" t="s">
        <v>47</v>
      </c>
      <c r="C12" s="372" t="s">
        <v>51</v>
      </c>
      <c r="D12" s="372" t="s">
        <v>52</v>
      </c>
      <c r="E12" s="374" t="s">
        <v>53</v>
      </c>
      <c r="F12" s="63"/>
      <c r="G12" s="374" t="s">
        <v>54</v>
      </c>
      <c r="H12" s="63"/>
      <c r="I12" s="372" t="s">
        <v>60</v>
      </c>
      <c r="J12" s="367" t="s">
        <v>61</v>
      </c>
    </row>
    <row r="13" spans="1:14" ht="22.5" hidden="1" customHeight="1" outlineLevel="1" x14ac:dyDescent="0.25">
      <c r="B13" s="379"/>
      <c r="C13" s="373"/>
      <c r="D13" s="373"/>
      <c r="E13" s="373"/>
      <c r="F13" s="65" t="s">
        <v>55</v>
      </c>
      <c r="G13" s="373"/>
      <c r="H13" s="65" t="s">
        <v>59</v>
      </c>
      <c r="I13" s="373"/>
      <c r="J13" s="368"/>
    </row>
    <row r="14" spans="1:14" ht="21" hidden="1" customHeight="1" outlineLevel="1" x14ac:dyDescent="0.25">
      <c r="B14" s="80" t="s">
        <v>48</v>
      </c>
      <c r="C14" s="74">
        <v>9000</v>
      </c>
      <c r="D14" s="74">
        <v>6141</v>
      </c>
      <c r="E14" s="99">
        <v>620</v>
      </c>
      <c r="F14" s="100">
        <f>+E14/D14*100</f>
        <v>10.096075557726754</v>
      </c>
      <c r="G14" s="74">
        <v>1100</v>
      </c>
      <c r="H14" s="75">
        <f>+G14/(D14-E14)*100</f>
        <v>19.923926824850572</v>
      </c>
      <c r="I14" s="74">
        <f>+D14-E14-G14</f>
        <v>4421</v>
      </c>
      <c r="J14" s="369" t="e">
        <f ca="1">+G18/H7</f>
        <v>#REF!</v>
      </c>
    </row>
    <row r="15" spans="1:14" ht="21" hidden="1" customHeight="1" outlineLevel="1" x14ac:dyDescent="0.25">
      <c r="B15" s="80" t="s">
        <v>58</v>
      </c>
      <c r="C15" s="76">
        <v>9000</v>
      </c>
      <c r="D15" s="76">
        <v>618</v>
      </c>
      <c r="E15" s="101">
        <v>42</v>
      </c>
      <c r="F15" s="102">
        <f t="shared" ref="F15:F18" si="0">+E15/D15*100</f>
        <v>6.7961165048543686</v>
      </c>
      <c r="G15" s="76">
        <v>177</v>
      </c>
      <c r="H15" s="77">
        <f t="shared" ref="H15:H18" si="1">+G15/(D15-E15)*100</f>
        <v>30.729166666666668</v>
      </c>
      <c r="I15" s="76">
        <f t="shared" ref="I15:I17" si="2">+D15-E15-G15</f>
        <v>399</v>
      </c>
      <c r="J15" s="370"/>
    </row>
    <row r="16" spans="1:14" ht="21" hidden="1" customHeight="1" outlineLevel="1" x14ac:dyDescent="0.25">
      <c r="B16" s="80" t="s">
        <v>49</v>
      </c>
      <c r="C16" s="76">
        <v>9000</v>
      </c>
      <c r="D16" s="76">
        <v>2535</v>
      </c>
      <c r="E16" s="101">
        <v>213</v>
      </c>
      <c r="F16" s="102">
        <f t="shared" si="0"/>
        <v>8.4023668639053248</v>
      </c>
      <c r="G16" s="76">
        <v>594</v>
      </c>
      <c r="H16" s="77">
        <f t="shared" si="1"/>
        <v>25.581395348837212</v>
      </c>
      <c r="I16" s="76">
        <f t="shared" si="2"/>
        <v>1728</v>
      </c>
      <c r="J16" s="370"/>
    </row>
    <row r="17" spans="1:10" ht="21" hidden="1" customHeight="1" outlineLevel="1" x14ac:dyDescent="0.25">
      <c r="B17" s="80" t="s">
        <v>50</v>
      </c>
      <c r="C17" s="76">
        <v>9000</v>
      </c>
      <c r="D17" s="76">
        <v>3293</v>
      </c>
      <c r="E17" s="101">
        <v>391</v>
      </c>
      <c r="F17" s="102">
        <f t="shared" si="0"/>
        <v>11.873671424233221</v>
      </c>
      <c r="G17" s="76">
        <v>385</v>
      </c>
      <c r="H17" s="77">
        <f t="shared" si="1"/>
        <v>13.26671261199173</v>
      </c>
      <c r="I17" s="76">
        <f t="shared" si="2"/>
        <v>2517</v>
      </c>
      <c r="J17" s="370"/>
    </row>
    <row r="18" spans="1:10" ht="21" hidden="1" customHeight="1" outlineLevel="1" x14ac:dyDescent="0.25">
      <c r="B18" s="81" t="s">
        <v>56</v>
      </c>
      <c r="C18" s="78">
        <v>9000</v>
      </c>
      <c r="D18" s="78">
        <f>+SUM(D14:D17)</f>
        <v>12587</v>
      </c>
      <c r="E18" s="103">
        <f>+SUM(E14:E17)</f>
        <v>1266</v>
      </c>
      <c r="F18" s="104">
        <f t="shared" si="0"/>
        <v>10.057996345435766</v>
      </c>
      <c r="G18" s="82">
        <f>+SUM(G14:G17)</f>
        <v>2256</v>
      </c>
      <c r="H18" s="79">
        <f t="shared" si="1"/>
        <v>19.927568236021553</v>
      </c>
      <c r="I18" s="82">
        <f>+SUM(I14:I17)</f>
        <v>9065</v>
      </c>
      <c r="J18" s="371"/>
    </row>
    <row r="19" spans="1:10" customFormat="1" ht="14.25" hidden="1" customHeight="1" outlineLevel="1" x14ac:dyDescent="0.25">
      <c r="B19" s="112"/>
      <c r="C19" s="112"/>
      <c r="D19" s="112"/>
      <c r="E19" s="112"/>
      <c r="F19" s="112"/>
      <c r="G19" s="112"/>
      <c r="H19" s="112"/>
      <c r="I19" s="112"/>
      <c r="J19" s="112"/>
    </row>
    <row r="20" spans="1:10" ht="29.25" customHeight="1" collapsed="1" x14ac:dyDescent="0.25">
      <c r="A20" s="127" t="s">
        <v>36</v>
      </c>
    </row>
    <row r="21" spans="1:10" ht="29.25" customHeight="1" x14ac:dyDescent="0.25">
      <c r="B21" s="140" t="s">
        <v>27</v>
      </c>
      <c r="C21" s="141">
        <v>19</v>
      </c>
      <c r="D21" s="141">
        <f>+C21-1</f>
        <v>18</v>
      </c>
      <c r="E21" s="141">
        <f t="shared" ref="E21:I21" si="3">+D21-1</f>
        <v>17</v>
      </c>
      <c r="F21" s="141">
        <f t="shared" si="3"/>
        <v>16</v>
      </c>
      <c r="G21" s="141">
        <f t="shared" si="3"/>
        <v>15</v>
      </c>
      <c r="H21" s="141">
        <f t="shared" si="3"/>
        <v>14</v>
      </c>
      <c r="I21" s="141">
        <f t="shared" si="3"/>
        <v>13</v>
      </c>
      <c r="J21" s="105"/>
    </row>
    <row r="22" spans="1:10" ht="22.5" customHeight="1" x14ac:dyDescent="0.25">
      <c r="B22" s="107" t="s">
        <v>67</v>
      </c>
      <c r="C22" s="110">
        <f>+$N$1</f>
        <v>45365</v>
      </c>
      <c r="D22" s="110">
        <f>+C22-1</f>
        <v>45364</v>
      </c>
      <c r="E22" s="110">
        <f>+D22-1</f>
        <v>45363</v>
      </c>
      <c r="F22" s="110">
        <f>+E22-1</f>
        <v>45362</v>
      </c>
      <c r="G22" s="110">
        <f>+F22-1</f>
        <v>45361</v>
      </c>
      <c r="H22" s="110">
        <f>+G22-1</f>
        <v>45360</v>
      </c>
      <c r="I22" s="110">
        <f>+H22-1</f>
        <v>45359</v>
      </c>
      <c r="J22" s="111" t="s">
        <v>77</v>
      </c>
    </row>
    <row r="23" spans="1:10" ht="22.5" customHeight="1" thickBot="1" x14ac:dyDescent="0.3">
      <c r="B23" s="107" t="s">
        <v>68</v>
      </c>
      <c r="C23" s="108" t="str">
        <f>+TEXT(C22,"aaa")</f>
        <v>목</v>
      </c>
      <c r="D23" s="108" t="str">
        <f t="shared" ref="D23:I23" si="4">+TEXT(D22,"aaa")</f>
        <v>수</v>
      </c>
      <c r="E23" s="108" t="str">
        <f t="shared" si="4"/>
        <v>화</v>
      </c>
      <c r="F23" s="108" t="str">
        <f t="shared" si="4"/>
        <v>월</v>
      </c>
      <c r="G23" s="108" t="str">
        <f t="shared" si="4"/>
        <v>일</v>
      </c>
      <c r="H23" s="108" t="str">
        <f t="shared" si="4"/>
        <v>토</v>
      </c>
      <c r="I23" s="108" t="str">
        <f t="shared" si="4"/>
        <v>금</v>
      </c>
      <c r="J23" s="109"/>
    </row>
    <row r="24" spans="1:10" ht="21.75" customHeight="1" thickBot="1" x14ac:dyDescent="0.3">
      <c r="B24" s="142" t="s">
        <v>22</v>
      </c>
      <c r="C24" s="143" t="e">
        <f>+SUMPRODUCT((#REF!)*(#REF!=$B24)*(#REF!=C$21))</f>
        <v>#REF!</v>
      </c>
      <c r="D24" s="143" t="e">
        <f>+SUMPRODUCT((#REF!)*(#REF!=$B24)*(#REF!=D$21))</f>
        <v>#REF!</v>
      </c>
      <c r="E24" s="143" t="e">
        <f>+SUMPRODUCT((#REF!)*(#REF!=$B24)*(#REF!=E$21))</f>
        <v>#REF!</v>
      </c>
      <c r="F24" s="143" t="e">
        <f>+SUMPRODUCT((#REF!)*(#REF!=$B24)*(#REF!=F$21))</f>
        <v>#REF!</v>
      </c>
      <c r="G24" s="143" t="e">
        <f>+SUMPRODUCT((#REF!)*(#REF!=$B24)*(#REF!=G$21))</f>
        <v>#REF!</v>
      </c>
      <c r="H24" s="143" t="e">
        <f>+SUMPRODUCT((#REF!)*(#REF!=$B24)*(#REF!=H$21))</f>
        <v>#REF!</v>
      </c>
      <c r="I24" s="143" t="e">
        <f>+SUMPRODUCT((#REF!)*(#REF!=$B24)*(#REF!=I$21))</f>
        <v>#REF!</v>
      </c>
      <c r="J24" s="144"/>
    </row>
    <row r="25" spans="1:10" ht="21.75" customHeight="1" x14ac:dyDescent="0.25">
      <c r="B25" s="47" t="s">
        <v>30</v>
      </c>
      <c r="C25" s="28" t="e">
        <f>+SUMPRODUCT((#REF!)*(#REF!=$B25)*(#REF!=C$21))</f>
        <v>#REF!</v>
      </c>
      <c r="D25" s="28" t="e">
        <f>+SUMPRODUCT((#REF!)*(#REF!=$B25)*(#REF!=D$21))</f>
        <v>#REF!</v>
      </c>
      <c r="E25" s="28" t="e">
        <f>+SUMPRODUCT((#REF!)*(#REF!=$B25)*(#REF!=E$21))</f>
        <v>#REF!</v>
      </c>
      <c r="F25" s="28" t="e">
        <f>+SUMPRODUCT((#REF!)*(#REF!=$B25)*(#REF!=F$21))</f>
        <v>#REF!</v>
      </c>
      <c r="G25" s="28" t="e">
        <f>+SUMPRODUCT((#REF!)*(#REF!=$B25)*(#REF!=G$21))</f>
        <v>#REF!</v>
      </c>
      <c r="H25" s="28" t="e">
        <f>+SUMPRODUCT((#REF!)*(#REF!=$B25)*(#REF!=H$21))</f>
        <v>#REF!</v>
      </c>
      <c r="I25" s="28" t="e">
        <f>+SUMPRODUCT((#REF!)*(#REF!=$B25)*(#REF!=I$21))</f>
        <v>#REF!</v>
      </c>
      <c r="J25" s="48"/>
    </row>
    <row r="26" spans="1:10" ht="21.75" customHeight="1" x14ac:dyDescent="0.25">
      <c r="B26" s="47" t="s">
        <v>28</v>
      </c>
      <c r="C26" s="28" t="e">
        <f>+SUMPRODUCT((#REF!)*(#REF!=$B26)*(#REF!=C$21))</f>
        <v>#REF!</v>
      </c>
      <c r="D26" s="28" t="e">
        <f>+SUMPRODUCT((#REF!)*(#REF!=$B26)*(#REF!=D$21))</f>
        <v>#REF!</v>
      </c>
      <c r="E26" s="28" t="e">
        <f>+SUMPRODUCT((#REF!)*(#REF!=$B26)*(#REF!=E$21))</f>
        <v>#REF!</v>
      </c>
      <c r="F26" s="28" t="e">
        <f>+SUMPRODUCT((#REF!)*(#REF!=$B26)*(#REF!=F$21))</f>
        <v>#REF!</v>
      </c>
      <c r="G26" s="28" t="e">
        <f>+SUMPRODUCT((#REF!)*(#REF!=$B26)*(#REF!=G$21))</f>
        <v>#REF!</v>
      </c>
      <c r="H26" s="28" t="e">
        <f>+SUMPRODUCT((#REF!)*(#REF!=$B26)*(#REF!=H$21))</f>
        <v>#REF!</v>
      </c>
      <c r="I26" s="28" t="e">
        <f>+SUMPRODUCT((#REF!)*(#REF!=$B26)*(#REF!=I$21))</f>
        <v>#REF!</v>
      </c>
      <c r="J26" s="48"/>
    </row>
    <row r="27" spans="1:10" ht="21.75" customHeight="1" x14ac:dyDescent="0.25">
      <c r="B27" s="47" t="s">
        <v>29</v>
      </c>
      <c r="C27" s="28" t="e">
        <f>+SUMPRODUCT((#REF!)*(#REF!=$B27)*(#REF!=C$21))</f>
        <v>#REF!</v>
      </c>
      <c r="D27" s="28" t="e">
        <f>+SUMPRODUCT((#REF!)*(#REF!=$B27)*(#REF!=D$21))</f>
        <v>#REF!</v>
      </c>
      <c r="E27" s="28" t="e">
        <f>+SUMPRODUCT((#REF!)*(#REF!=$B27)*(#REF!=E$21))</f>
        <v>#REF!</v>
      </c>
      <c r="F27" s="28" t="e">
        <f>+SUMPRODUCT((#REF!)*(#REF!=$B27)*(#REF!=F$21))</f>
        <v>#REF!</v>
      </c>
      <c r="G27" s="28" t="e">
        <f>+SUMPRODUCT((#REF!)*(#REF!=$B27)*(#REF!=G$21))</f>
        <v>#REF!</v>
      </c>
      <c r="H27" s="28" t="e">
        <f>+SUMPRODUCT((#REF!)*(#REF!=$B27)*(#REF!=H$21))</f>
        <v>#REF!</v>
      </c>
      <c r="I27" s="28" t="e">
        <f>+SUMPRODUCT((#REF!)*(#REF!=$B27)*(#REF!=I$21))</f>
        <v>#REF!</v>
      </c>
      <c r="J27" s="48"/>
    </row>
    <row r="28" spans="1:10" ht="21.75" customHeight="1" x14ac:dyDescent="0.25">
      <c r="B28" s="47" t="s">
        <v>31</v>
      </c>
      <c r="C28" s="28" t="e">
        <f>+SUMPRODUCT((#REF!)*(#REF!=$B28)*(#REF!=C$21))</f>
        <v>#REF!</v>
      </c>
      <c r="D28" s="28" t="e">
        <f>+SUMPRODUCT((#REF!)*(#REF!=$B28)*(#REF!=D$21))</f>
        <v>#REF!</v>
      </c>
      <c r="E28" s="28" t="e">
        <f>+SUMPRODUCT((#REF!)*(#REF!=$B28)*(#REF!=E$21))</f>
        <v>#REF!</v>
      </c>
      <c r="F28" s="28" t="e">
        <f>+SUMPRODUCT((#REF!)*(#REF!=$B28)*(#REF!=F$21))</f>
        <v>#REF!</v>
      </c>
      <c r="G28" s="28" t="e">
        <f>+SUMPRODUCT((#REF!)*(#REF!=$B28)*(#REF!=G$21))</f>
        <v>#REF!</v>
      </c>
      <c r="H28" s="28" t="e">
        <f>+SUMPRODUCT((#REF!)*(#REF!=$B28)*(#REF!=H$21))</f>
        <v>#REF!</v>
      </c>
      <c r="I28" s="28" t="e">
        <f>+SUMPRODUCT((#REF!)*(#REF!=$B28)*(#REF!=I$21))</f>
        <v>#REF!</v>
      </c>
      <c r="J28" s="48"/>
    </row>
    <row r="29" spans="1:10" ht="21.75" customHeight="1" x14ac:dyDescent="0.25">
      <c r="B29" s="47" t="s">
        <v>32</v>
      </c>
      <c r="C29" s="28" t="e">
        <f>+SUMPRODUCT((#REF!)*(#REF!=$B29)*(#REF!=C$21))</f>
        <v>#REF!</v>
      </c>
      <c r="D29" s="28" t="e">
        <f>+SUMPRODUCT((#REF!)*(#REF!=$B29)*(#REF!=D$21))</f>
        <v>#REF!</v>
      </c>
      <c r="E29" s="28" t="e">
        <f>+SUMPRODUCT((#REF!)*(#REF!=$B29)*(#REF!=E$21))</f>
        <v>#REF!</v>
      </c>
      <c r="F29" s="28" t="e">
        <f>+SUMPRODUCT((#REF!)*(#REF!=$B29)*(#REF!=F$21))</f>
        <v>#REF!</v>
      </c>
      <c r="G29" s="28" t="e">
        <f>+SUMPRODUCT((#REF!)*(#REF!=$B29)*(#REF!=G$21))</f>
        <v>#REF!</v>
      </c>
      <c r="H29" s="28" t="e">
        <f>+SUMPRODUCT((#REF!)*(#REF!=$B29)*(#REF!=H$21))</f>
        <v>#REF!</v>
      </c>
      <c r="I29" s="28" t="e">
        <f>+SUMPRODUCT((#REF!)*(#REF!=$B29)*(#REF!=I$21))</f>
        <v>#REF!</v>
      </c>
      <c r="J29" s="106"/>
    </row>
    <row r="30" spans="1:10" ht="21.75" customHeight="1" x14ac:dyDescent="0.25">
      <c r="B30" s="49" t="s">
        <v>33</v>
      </c>
      <c r="C30" s="28" t="e">
        <f>+SUMPRODUCT((#REF!)*(#REF!=$B30)*(#REF!=C$21))</f>
        <v>#REF!</v>
      </c>
      <c r="D30" s="28" t="e">
        <f>+SUMPRODUCT((#REF!)*(#REF!=$B30)*(#REF!=D$21))</f>
        <v>#REF!</v>
      </c>
      <c r="E30" s="28" t="e">
        <f>+SUMPRODUCT((#REF!)*(#REF!=$B30)*(#REF!=E$21))</f>
        <v>#REF!</v>
      </c>
      <c r="F30" s="28" t="e">
        <f>+SUMPRODUCT((#REF!)*(#REF!=$B30)*(#REF!=F$21))</f>
        <v>#REF!</v>
      </c>
      <c r="G30" s="28" t="e">
        <f>+SUMPRODUCT((#REF!)*(#REF!=$B30)*(#REF!=G$21))</f>
        <v>#REF!</v>
      </c>
      <c r="H30" s="28" t="e">
        <f>+SUMPRODUCT((#REF!)*(#REF!=$B30)*(#REF!=H$21))</f>
        <v>#REF!</v>
      </c>
      <c r="I30" s="28" t="e">
        <f>+SUMPRODUCT((#REF!)*(#REF!=$B30)*(#REF!=I$21))</f>
        <v>#REF!</v>
      </c>
      <c r="J30" s="106"/>
    </row>
    <row r="31" spans="1:10" ht="21.75" customHeight="1" x14ac:dyDescent="0.25">
      <c r="B31" s="49" t="s">
        <v>34</v>
      </c>
      <c r="C31" s="28" t="e">
        <f>+SUMPRODUCT((#REF!)*(#REF!=$B31)*(#REF!=C$21))</f>
        <v>#REF!</v>
      </c>
      <c r="D31" s="28" t="e">
        <f>+SUMPRODUCT((#REF!)*(#REF!=$B31)*(#REF!=D$21))</f>
        <v>#REF!</v>
      </c>
      <c r="E31" s="28" t="e">
        <f>+SUMPRODUCT((#REF!)*(#REF!=$B31)*(#REF!=E$21))</f>
        <v>#REF!</v>
      </c>
      <c r="F31" s="28" t="e">
        <f>+SUMPRODUCT((#REF!)*(#REF!=$B31)*(#REF!=F$21))</f>
        <v>#REF!</v>
      </c>
      <c r="G31" s="28" t="e">
        <f>+SUMPRODUCT((#REF!)*(#REF!=$B31)*(#REF!=G$21))</f>
        <v>#REF!</v>
      </c>
      <c r="H31" s="28" t="e">
        <f>+SUMPRODUCT((#REF!)*(#REF!=$B31)*(#REF!=H$21))</f>
        <v>#REF!</v>
      </c>
      <c r="I31" s="28" t="e">
        <f>+SUMPRODUCT((#REF!)*(#REF!=$B31)*(#REF!=I$21))</f>
        <v>#REF!</v>
      </c>
      <c r="J31" s="106"/>
    </row>
    <row r="32" spans="1:10" ht="21.75" customHeight="1" x14ac:dyDescent="0.25">
      <c r="B32" s="50" t="s">
        <v>35</v>
      </c>
      <c r="C32" s="28" t="e">
        <f>+SUMPRODUCT((#REF!)*(#REF!=$B32)*(#REF!=C$21))</f>
        <v>#REF!</v>
      </c>
      <c r="D32" s="28" t="e">
        <f>+SUMPRODUCT((#REF!)*(#REF!=$B32)*(#REF!=D$21))</f>
        <v>#REF!</v>
      </c>
      <c r="E32" s="28" t="e">
        <f>+SUMPRODUCT((#REF!)*(#REF!=$B32)*(#REF!=E$21))</f>
        <v>#REF!</v>
      </c>
      <c r="F32" s="28" t="e">
        <f>+SUMPRODUCT((#REF!)*(#REF!=$B32)*(#REF!=F$21))</f>
        <v>#REF!</v>
      </c>
      <c r="G32" s="28" t="e">
        <f>+SUMPRODUCT((#REF!)*(#REF!=$B32)*(#REF!=G$21))</f>
        <v>#REF!</v>
      </c>
      <c r="H32" s="28" t="e">
        <f>+SUMPRODUCT((#REF!)*(#REF!=$B32)*(#REF!=H$21))</f>
        <v>#REF!</v>
      </c>
      <c r="I32" s="28" t="e">
        <f>+SUMPRODUCT((#REF!)*(#REF!=$B32)*(#REF!=I$21))</f>
        <v>#REF!</v>
      </c>
      <c r="J32" s="51"/>
    </row>
    <row r="33" spans="1:10" ht="21.75" customHeight="1" x14ac:dyDescent="0.25">
      <c r="B33" s="52" t="s">
        <v>37</v>
      </c>
      <c r="C33" s="24" t="e">
        <f>+AVERAGE(C25:C32)</f>
        <v>#REF!</v>
      </c>
      <c r="D33" s="24" t="e">
        <f t="shared" ref="D33:I33" si="5">+AVERAGE(D25:D32)</f>
        <v>#REF!</v>
      </c>
      <c r="E33" s="24" t="e">
        <f t="shared" si="5"/>
        <v>#REF!</v>
      </c>
      <c r="F33" s="24" t="e">
        <f t="shared" si="5"/>
        <v>#REF!</v>
      </c>
      <c r="G33" s="24" t="e">
        <f t="shared" si="5"/>
        <v>#REF!</v>
      </c>
      <c r="H33" s="24" t="e">
        <f t="shared" si="5"/>
        <v>#REF!</v>
      </c>
      <c r="I33" s="24" t="e">
        <f t="shared" si="5"/>
        <v>#REF!</v>
      </c>
      <c r="J33" s="51"/>
    </row>
    <row r="34" spans="1:10" ht="21.75" customHeight="1" x14ac:dyDescent="0.25">
      <c r="B34" s="53" t="s">
        <v>62</v>
      </c>
      <c r="C34" s="27" t="e">
        <f>+C24-C33</f>
        <v>#REF!</v>
      </c>
      <c r="D34" s="27" t="e">
        <f t="shared" ref="D34:I34" si="6">+D24-D33</f>
        <v>#REF!</v>
      </c>
      <c r="E34" s="27" t="e">
        <f t="shared" si="6"/>
        <v>#REF!</v>
      </c>
      <c r="F34" s="27" t="e">
        <f t="shared" si="6"/>
        <v>#REF!</v>
      </c>
      <c r="G34" s="27" t="e">
        <f t="shared" si="6"/>
        <v>#REF!</v>
      </c>
      <c r="H34" s="27" t="e">
        <f t="shared" si="6"/>
        <v>#REF!</v>
      </c>
      <c r="I34" s="27" t="e">
        <f t="shared" si="6"/>
        <v>#REF!</v>
      </c>
      <c r="J34" s="54"/>
    </row>
    <row r="35" spans="1:10" ht="21.75" customHeight="1" x14ac:dyDescent="0.25">
      <c r="B35" s="55" t="s">
        <v>63</v>
      </c>
      <c r="C35" s="24" t="e">
        <f>+AVERAGE(C31,C30)</f>
        <v>#REF!</v>
      </c>
      <c r="D35" s="24" t="e">
        <f t="shared" ref="D35:I35" si="7">+AVERAGE(D31,D30)</f>
        <v>#REF!</v>
      </c>
      <c r="E35" s="24" t="e">
        <f t="shared" si="7"/>
        <v>#REF!</v>
      </c>
      <c r="F35" s="24" t="e">
        <f t="shared" si="7"/>
        <v>#REF!</v>
      </c>
      <c r="G35" s="24" t="e">
        <f t="shared" si="7"/>
        <v>#REF!</v>
      </c>
      <c r="H35" s="24" t="e">
        <f t="shared" si="7"/>
        <v>#REF!</v>
      </c>
      <c r="I35" s="24" t="e">
        <f t="shared" si="7"/>
        <v>#REF!</v>
      </c>
      <c r="J35" s="51"/>
    </row>
    <row r="36" spans="1:10" ht="21.75" customHeight="1" x14ac:dyDescent="0.25">
      <c r="B36" s="56" t="s">
        <v>62</v>
      </c>
      <c r="C36" s="34" t="e">
        <f>+C24-C35</f>
        <v>#REF!</v>
      </c>
      <c r="D36" s="34" t="e">
        <f t="shared" ref="D36:I36" si="8">+D24-D35</f>
        <v>#REF!</v>
      </c>
      <c r="E36" s="34" t="e">
        <f t="shared" si="8"/>
        <v>#REF!</v>
      </c>
      <c r="F36" s="34" t="e">
        <f t="shared" si="8"/>
        <v>#REF!</v>
      </c>
      <c r="G36" s="34" t="e">
        <f t="shared" si="8"/>
        <v>#REF!</v>
      </c>
      <c r="H36" s="34" t="e">
        <f t="shared" si="8"/>
        <v>#REF!</v>
      </c>
      <c r="I36" s="34" t="e">
        <f t="shared" si="8"/>
        <v>#REF!</v>
      </c>
      <c r="J36" s="57"/>
    </row>
    <row r="37" spans="1:10" ht="21.75" customHeight="1" x14ac:dyDescent="0.25">
      <c r="B37" s="39" t="s">
        <v>66</v>
      </c>
    </row>
    <row r="38" spans="1:10" ht="18" customHeight="1" x14ac:dyDescent="0.25"/>
    <row r="39" spans="1:10" s="39" customFormat="1" ht="25.5" customHeight="1" x14ac:dyDescent="0.25">
      <c r="A39" s="127" t="s">
        <v>76</v>
      </c>
      <c r="C39" s="121"/>
      <c r="D39" s="121"/>
      <c r="E39" s="121"/>
      <c r="F39" s="121"/>
      <c r="G39" s="121"/>
      <c r="H39" s="121"/>
      <c r="I39" s="121"/>
      <c r="J39" s="122">
        <f>+F8</f>
        <v>20</v>
      </c>
    </row>
    <row r="40" spans="1:10" s="39" customFormat="1" ht="21" customHeight="1" x14ac:dyDescent="0.25">
      <c r="B40" s="41" t="e">
        <f>+#REF!</f>
        <v>#REF!</v>
      </c>
      <c r="C40" s="29" t="e">
        <f>+#REF!</f>
        <v>#REF!</v>
      </c>
      <c r="D40" s="29" t="e">
        <f>+#REF!</f>
        <v>#REF!</v>
      </c>
      <c r="E40" s="29" t="e">
        <f>+#REF!</f>
        <v>#REF!</v>
      </c>
      <c r="F40" s="29" t="e">
        <f>+#REF!</f>
        <v>#REF!</v>
      </c>
      <c r="G40" s="29" t="e">
        <f>+#REF!</f>
        <v>#REF!</v>
      </c>
      <c r="H40" s="29" t="e">
        <f>+#REF!</f>
        <v>#REF!</v>
      </c>
      <c r="I40" s="59" t="e">
        <f>+#REF!</f>
        <v>#REF!</v>
      </c>
      <c r="J40" s="59" t="e">
        <f>+#REF!</f>
        <v>#REF!</v>
      </c>
    </row>
    <row r="41" spans="1:10" s="39" customFormat="1" ht="21" customHeight="1" x14ac:dyDescent="0.25">
      <c r="A41" s="138" t="s">
        <v>69</v>
      </c>
      <c r="B41" s="128" t="e">
        <f>+#REF!</f>
        <v>#REF!</v>
      </c>
      <c r="C41" s="129" t="e">
        <f>+#REF!</f>
        <v>#REF!</v>
      </c>
      <c r="D41" s="129" t="e">
        <f>+#REF!</f>
        <v>#REF!</v>
      </c>
      <c r="E41" s="129" t="e">
        <f>+#REF!</f>
        <v>#REF!</v>
      </c>
      <c r="F41" s="129" t="e">
        <f>+#REF!</f>
        <v>#REF!</v>
      </c>
      <c r="G41" s="129" t="e">
        <f>+#REF!</f>
        <v>#REF!</v>
      </c>
      <c r="H41" s="129" t="e">
        <f>+#REF!</f>
        <v>#REF!</v>
      </c>
      <c r="I41" s="129" t="e">
        <f>+#REF!</f>
        <v>#REF!</v>
      </c>
      <c r="J41" s="130" t="e">
        <f>+#REF!</f>
        <v>#REF!</v>
      </c>
    </row>
    <row r="42" spans="1:10" s="39" customFormat="1" ht="21" customHeight="1" x14ac:dyDescent="0.25">
      <c r="A42" s="138" t="s">
        <v>73</v>
      </c>
      <c r="B42" s="123" t="e">
        <f>+#REF!</f>
        <v>#REF!</v>
      </c>
      <c r="C42" s="124" t="e">
        <f>+#REF!</f>
        <v>#REF!</v>
      </c>
      <c r="D42" s="124" t="e">
        <f>+#REF!</f>
        <v>#REF!</v>
      </c>
      <c r="E42" s="124" t="e">
        <f>+#REF!</f>
        <v>#REF!</v>
      </c>
      <c r="F42" s="124" t="e">
        <f>+#REF!</f>
        <v>#REF!</v>
      </c>
      <c r="G42" s="124" t="e">
        <f>+#REF!</f>
        <v>#REF!</v>
      </c>
      <c r="H42" s="124" t="e">
        <f>+#REF!</f>
        <v>#REF!</v>
      </c>
      <c r="I42" s="124" t="e">
        <f>+#REF!</f>
        <v>#REF!</v>
      </c>
      <c r="J42" s="125" t="e">
        <f>+#REF!</f>
        <v>#REF!</v>
      </c>
    </row>
    <row r="43" spans="1:10" s="39" customFormat="1" ht="21" customHeight="1" x14ac:dyDescent="0.25">
      <c r="A43" s="138" t="s">
        <v>74</v>
      </c>
      <c r="B43" s="123" t="e">
        <f>+B42/B41</f>
        <v>#REF!</v>
      </c>
      <c r="C43" s="124" t="e">
        <f t="shared" ref="C43:J43" si="9">+C42/C41</f>
        <v>#REF!</v>
      </c>
      <c r="D43" s="124" t="e">
        <f t="shared" si="9"/>
        <v>#REF!</v>
      </c>
      <c r="E43" s="124" t="e">
        <f t="shared" si="9"/>
        <v>#REF!</v>
      </c>
      <c r="F43" s="124" t="e">
        <f t="shared" si="9"/>
        <v>#REF!</v>
      </c>
      <c r="G43" s="124" t="e">
        <f t="shared" si="9"/>
        <v>#REF!</v>
      </c>
      <c r="H43" s="124" t="e">
        <f t="shared" si="9"/>
        <v>#REF!</v>
      </c>
      <c r="I43" s="124" t="e">
        <f t="shared" si="9"/>
        <v>#REF!</v>
      </c>
      <c r="J43" s="125" t="e">
        <f t="shared" si="9"/>
        <v>#REF!</v>
      </c>
    </row>
    <row r="44" spans="1:10" s="39" customFormat="1" ht="21" customHeight="1" x14ac:dyDescent="0.25">
      <c r="A44" s="138" t="s">
        <v>75</v>
      </c>
      <c r="B44" s="131" t="e">
        <f t="shared" ref="B44:I44" si="10">+$J$43-B43</f>
        <v>#REF!</v>
      </c>
      <c r="C44" s="132" t="e">
        <f t="shared" si="10"/>
        <v>#REF!</v>
      </c>
      <c r="D44" s="132" t="e">
        <f t="shared" si="10"/>
        <v>#REF!</v>
      </c>
      <c r="E44" s="132" t="e">
        <f t="shared" si="10"/>
        <v>#REF!</v>
      </c>
      <c r="F44" s="132" t="e">
        <f t="shared" si="10"/>
        <v>#REF!</v>
      </c>
      <c r="G44" s="132" t="e">
        <f t="shared" si="10"/>
        <v>#REF!</v>
      </c>
      <c r="H44" s="132" t="e">
        <f t="shared" si="10"/>
        <v>#REF!</v>
      </c>
      <c r="I44" s="132" t="e">
        <f t="shared" si="10"/>
        <v>#REF!</v>
      </c>
      <c r="J44" s="126"/>
    </row>
    <row r="45" spans="1:10" s="39" customFormat="1" ht="21" customHeight="1" x14ac:dyDescent="0.25">
      <c r="A45" s="138" t="s">
        <v>70</v>
      </c>
      <c r="B45" s="128" t="e">
        <f>+#REF!</f>
        <v>#REF!</v>
      </c>
      <c r="C45" s="129" t="e">
        <f>+#REF!</f>
        <v>#REF!</v>
      </c>
      <c r="D45" s="129" t="e">
        <f>+#REF!</f>
        <v>#REF!</v>
      </c>
      <c r="E45" s="129" t="e">
        <f>+#REF!</f>
        <v>#REF!</v>
      </c>
      <c r="F45" s="129" t="e">
        <f>+#REF!</f>
        <v>#REF!</v>
      </c>
      <c r="G45" s="129" t="e">
        <f>+#REF!</f>
        <v>#REF!</v>
      </c>
      <c r="H45" s="129" t="e">
        <f>+#REF!</f>
        <v>#REF!</v>
      </c>
      <c r="I45" s="129" t="e">
        <f>+#REF!</f>
        <v>#REF!</v>
      </c>
      <c r="J45" s="130" t="e">
        <f>+#REF!</f>
        <v>#REF!</v>
      </c>
    </row>
    <row r="46" spans="1:10" s="39" customFormat="1" ht="21" customHeight="1" x14ac:dyDescent="0.25">
      <c r="A46" s="138" t="s">
        <v>73</v>
      </c>
      <c r="B46" s="123" t="e">
        <f>+#REF!</f>
        <v>#REF!</v>
      </c>
      <c r="C46" s="124" t="e">
        <f>+#REF!</f>
        <v>#REF!</v>
      </c>
      <c r="D46" s="124" t="e">
        <f>+#REF!</f>
        <v>#REF!</v>
      </c>
      <c r="E46" s="124" t="e">
        <f>+#REF!</f>
        <v>#REF!</v>
      </c>
      <c r="F46" s="124" t="e">
        <f>+#REF!</f>
        <v>#REF!</v>
      </c>
      <c r="G46" s="124" t="e">
        <f>+#REF!</f>
        <v>#REF!</v>
      </c>
      <c r="H46" s="124" t="e">
        <f>+#REF!</f>
        <v>#REF!</v>
      </c>
      <c r="I46" s="124" t="e">
        <f>+#REF!</f>
        <v>#REF!</v>
      </c>
      <c r="J46" s="125" t="e">
        <f>+#REF!</f>
        <v>#REF!</v>
      </c>
    </row>
    <row r="47" spans="1:10" ht="21" customHeight="1" x14ac:dyDescent="0.25">
      <c r="A47" s="138" t="s">
        <v>74</v>
      </c>
      <c r="B47" s="123" t="e">
        <f>+B46/B45</f>
        <v>#REF!</v>
      </c>
      <c r="C47" s="124" t="e">
        <f t="shared" ref="C47:J47" si="11">+C46/C45</f>
        <v>#REF!</v>
      </c>
      <c r="D47" s="124" t="e">
        <f t="shared" si="11"/>
        <v>#REF!</v>
      </c>
      <c r="E47" s="124" t="e">
        <f t="shared" si="11"/>
        <v>#REF!</v>
      </c>
      <c r="F47" s="124" t="e">
        <f t="shared" si="11"/>
        <v>#REF!</v>
      </c>
      <c r="G47" s="124" t="e">
        <f t="shared" si="11"/>
        <v>#REF!</v>
      </c>
      <c r="H47" s="124" t="e">
        <f t="shared" si="11"/>
        <v>#REF!</v>
      </c>
      <c r="I47" s="124" t="e">
        <f t="shared" si="11"/>
        <v>#REF!</v>
      </c>
      <c r="J47" s="125" t="e">
        <f t="shared" si="11"/>
        <v>#REF!</v>
      </c>
    </row>
    <row r="48" spans="1:10" s="39" customFormat="1" ht="21" customHeight="1" x14ac:dyDescent="0.25">
      <c r="A48" s="138" t="s">
        <v>75</v>
      </c>
      <c r="B48" s="135" t="e">
        <f t="shared" ref="B48:I48" si="12">+$J$47-B47</f>
        <v>#REF!</v>
      </c>
      <c r="C48" s="136" t="e">
        <f t="shared" si="12"/>
        <v>#REF!</v>
      </c>
      <c r="D48" s="136" t="e">
        <f t="shared" si="12"/>
        <v>#REF!</v>
      </c>
      <c r="E48" s="136" t="e">
        <f t="shared" si="12"/>
        <v>#REF!</v>
      </c>
      <c r="F48" s="136" t="e">
        <f t="shared" si="12"/>
        <v>#REF!</v>
      </c>
      <c r="G48" s="136" t="e">
        <f t="shared" si="12"/>
        <v>#REF!</v>
      </c>
      <c r="H48" s="136" t="e">
        <f t="shared" si="12"/>
        <v>#REF!</v>
      </c>
      <c r="I48" s="136" t="e">
        <f t="shared" si="12"/>
        <v>#REF!</v>
      </c>
      <c r="J48" s="137"/>
    </row>
    <row r="49" spans="1:10" s="39" customFormat="1" ht="15" customHeight="1" x14ac:dyDescent="0.25">
      <c r="A49" s="113"/>
      <c r="B49" s="133"/>
      <c r="C49" s="133"/>
      <c r="D49" s="133"/>
      <c r="E49" s="133"/>
      <c r="F49" s="133"/>
      <c r="G49" s="133"/>
      <c r="H49" s="133"/>
      <c r="I49" s="133"/>
      <c r="J49" s="134"/>
    </row>
    <row r="50" spans="1:10" ht="24" customHeight="1" x14ac:dyDescent="0.25">
      <c r="A50" s="127" t="s">
        <v>43</v>
      </c>
      <c r="C50" s="58"/>
      <c r="D50" s="58" t="s">
        <v>44</v>
      </c>
      <c r="E50" s="58" t="s">
        <v>44</v>
      </c>
      <c r="F50" s="58"/>
      <c r="G50" s="58"/>
      <c r="H50" s="58"/>
      <c r="I50" s="58"/>
      <c r="J50" s="58"/>
    </row>
    <row r="51" spans="1:10" ht="22.5" customHeight="1" x14ac:dyDescent="0.25">
      <c r="B51" s="41" t="s">
        <v>18</v>
      </c>
      <c r="C51" s="29" t="e">
        <f>+#REF!</f>
        <v>#REF!</v>
      </c>
      <c r="D51" s="29" t="e">
        <f>+#REF!</f>
        <v>#REF!</v>
      </c>
      <c r="E51" s="29" t="e">
        <f>+#REF!</f>
        <v>#REF!</v>
      </c>
      <c r="F51" s="29" t="e">
        <f>+#REF!</f>
        <v>#REF!</v>
      </c>
      <c r="G51" s="29" t="e">
        <f>+#REF!</f>
        <v>#REF!</v>
      </c>
      <c r="H51" s="29" t="e">
        <f>+#REF!</f>
        <v>#REF!</v>
      </c>
      <c r="I51" s="29" t="e">
        <f>+#REF!</f>
        <v>#REF!</v>
      </c>
      <c r="J51" s="59" t="e">
        <f>+#REF!</f>
        <v>#REF!</v>
      </c>
    </row>
    <row r="52" spans="1:10" ht="22.5" customHeight="1" x14ac:dyDescent="0.25">
      <c r="B52" s="42" t="s">
        <v>6</v>
      </c>
      <c r="C52" s="66" t="e">
        <f>+#REF!</f>
        <v>#REF!</v>
      </c>
      <c r="D52" s="66" t="e">
        <f>+#REF!</f>
        <v>#REF!</v>
      </c>
      <c r="E52" s="66" t="e">
        <f>+#REF!</f>
        <v>#REF!</v>
      </c>
      <c r="F52" s="66" t="e">
        <f>+#REF!</f>
        <v>#REF!</v>
      </c>
      <c r="G52" s="66" t="e">
        <f>+#REF!</f>
        <v>#REF!</v>
      </c>
      <c r="H52" s="66" t="e">
        <f>+#REF!</f>
        <v>#REF!</v>
      </c>
      <c r="I52" s="66" t="e">
        <f>+#REF!</f>
        <v>#REF!</v>
      </c>
      <c r="J52" s="67" t="e">
        <f>+#REF!</f>
        <v>#REF!</v>
      </c>
    </row>
    <row r="53" spans="1:10" ht="22.5" customHeight="1" x14ac:dyDescent="0.25">
      <c r="B53" s="47" t="s">
        <v>7</v>
      </c>
      <c r="C53" s="69" t="e">
        <f>+#REF!</f>
        <v>#REF!</v>
      </c>
      <c r="D53" s="69" t="e">
        <f>+#REF!</f>
        <v>#REF!</v>
      </c>
      <c r="E53" s="69" t="e">
        <f>+#REF!</f>
        <v>#REF!</v>
      </c>
      <c r="F53" s="69" t="e">
        <f>+#REF!</f>
        <v>#REF!</v>
      </c>
      <c r="G53" s="69" t="e">
        <f>+#REF!</f>
        <v>#REF!</v>
      </c>
      <c r="H53" s="69" t="e">
        <f>+#REF!</f>
        <v>#REF!</v>
      </c>
      <c r="I53" s="69" t="e">
        <f>+#REF!</f>
        <v>#REF!</v>
      </c>
      <c r="J53" s="70" t="e">
        <f>+#REF!</f>
        <v>#REF!</v>
      </c>
    </row>
    <row r="54" spans="1:10" ht="22.5" customHeight="1" x14ac:dyDescent="0.25">
      <c r="B54" s="47" t="s">
        <v>9</v>
      </c>
      <c r="C54" s="71" t="e">
        <f>+C53-C52+1</f>
        <v>#REF!</v>
      </c>
      <c r="D54" s="71" t="e">
        <f t="shared" ref="D54:J54" si="13">+D53-D52+1</f>
        <v>#REF!</v>
      </c>
      <c r="E54" s="71" t="e">
        <f t="shared" si="13"/>
        <v>#REF!</v>
      </c>
      <c r="F54" s="71" t="e">
        <f t="shared" si="13"/>
        <v>#REF!</v>
      </c>
      <c r="G54" s="71" t="e">
        <f t="shared" si="13"/>
        <v>#REF!</v>
      </c>
      <c r="H54" s="71" t="e">
        <f t="shared" si="13"/>
        <v>#REF!</v>
      </c>
      <c r="I54" s="71" t="e">
        <f t="shared" si="13"/>
        <v>#REF!</v>
      </c>
      <c r="J54" s="72" t="e">
        <f t="shared" si="13"/>
        <v>#REF!</v>
      </c>
    </row>
    <row r="55" spans="1:10" ht="22.5" customHeight="1" x14ac:dyDescent="0.25">
      <c r="B55" s="47" t="s">
        <v>65</v>
      </c>
      <c r="C55" s="28" t="e">
        <f>+#REF!</f>
        <v>#REF!</v>
      </c>
      <c r="D55" s="28" t="e">
        <f>+#REF!</f>
        <v>#REF!</v>
      </c>
      <c r="E55" s="28" t="e">
        <f>+#REF!</f>
        <v>#REF!</v>
      </c>
      <c r="F55" s="28" t="e">
        <f>+#REF!</f>
        <v>#REF!</v>
      </c>
      <c r="G55" s="28" t="e">
        <f>+#REF!</f>
        <v>#REF!</v>
      </c>
      <c r="H55" s="28" t="e">
        <f>+#REF!</f>
        <v>#REF!</v>
      </c>
      <c r="I55" s="28" t="e">
        <f>+#REF!</f>
        <v>#REF!</v>
      </c>
      <c r="J55" s="48" t="e">
        <f>+#REF!</f>
        <v>#REF!</v>
      </c>
    </row>
    <row r="56" spans="1:10" ht="22.5" customHeight="1" x14ac:dyDescent="0.25">
      <c r="B56" s="44" t="s">
        <v>64</v>
      </c>
      <c r="C56" s="32" t="e">
        <f>+C55/C54</f>
        <v>#REF!</v>
      </c>
      <c r="D56" s="32" t="e">
        <f t="shared" ref="D56:J56" si="14">+D55/D54</f>
        <v>#REF!</v>
      </c>
      <c r="E56" s="32" t="e">
        <f t="shared" si="14"/>
        <v>#REF!</v>
      </c>
      <c r="F56" s="32" t="e">
        <f t="shared" si="14"/>
        <v>#REF!</v>
      </c>
      <c r="G56" s="32" t="e">
        <f t="shared" si="14"/>
        <v>#REF!</v>
      </c>
      <c r="H56" s="32" t="e">
        <f t="shared" si="14"/>
        <v>#REF!</v>
      </c>
      <c r="I56" s="32" t="e">
        <f t="shared" si="14"/>
        <v>#REF!</v>
      </c>
      <c r="J56" s="68" t="e">
        <f t="shared" si="14"/>
        <v>#REF!</v>
      </c>
    </row>
    <row r="57" spans="1:10" s="39" customFormat="1" ht="15.75" customHeight="1" x14ac:dyDescent="0.25">
      <c r="B57" s="80"/>
      <c r="C57" s="121"/>
      <c r="D57" s="121"/>
      <c r="E57" s="121"/>
      <c r="F57" s="121"/>
      <c r="G57" s="121"/>
      <c r="H57" s="121"/>
      <c r="I57" s="121"/>
      <c r="J57" s="121"/>
    </row>
  </sheetData>
  <mergeCells count="8">
    <mergeCell ref="J12:J13"/>
    <mergeCell ref="J14:J18"/>
    <mergeCell ref="B12:B13"/>
    <mergeCell ref="C12:C13"/>
    <mergeCell ref="D12:D13"/>
    <mergeCell ref="E12:E13"/>
    <mergeCell ref="G12:G13"/>
    <mergeCell ref="I12:I13"/>
  </mergeCells>
  <phoneticPr fontId="2" type="noConversion"/>
  <conditionalFormatting sqref="C24:I24">
    <cfRule type="aboveAverage" dxfId="8" priority="9"/>
  </conditionalFormatting>
  <conditionalFormatting sqref="C25:I25">
    <cfRule type="aboveAverage" dxfId="7" priority="8"/>
  </conditionalFormatting>
  <conditionalFormatting sqref="C26:I26">
    <cfRule type="aboveAverage" dxfId="6" priority="7"/>
  </conditionalFormatting>
  <conditionalFormatting sqref="C27:I27">
    <cfRule type="aboveAverage" dxfId="5" priority="6"/>
  </conditionalFormatting>
  <conditionalFormatting sqref="C28:I28">
    <cfRule type="aboveAverage" dxfId="4" priority="5"/>
  </conditionalFormatting>
  <conditionalFormatting sqref="C29:I29">
    <cfRule type="aboveAverage" dxfId="3" priority="4"/>
  </conditionalFormatting>
  <conditionalFormatting sqref="C30:I30">
    <cfRule type="aboveAverage" dxfId="2" priority="3"/>
  </conditionalFormatting>
  <conditionalFormatting sqref="C31:I31">
    <cfRule type="aboveAverage" dxfId="1" priority="2"/>
  </conditionalFormatting>
  <conditionalFormatting sqref="C32:I32">
    <cfRule type="aboveAverage" dxfId="0" priority="1"/>
  </conditionalFormatting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77" orientation="portrait" r:id="rId1"/>
  <colBreaks count="1" manualBreakCount="1">
    <brk id="9" max="1048575" man="1"/>
  </colBreak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theme="8" tint="-0.499984740745262"/>
          <x14:colorNegative rgb="FFD00000"/>
          <x14:colorAxis rgb="FF000000"/>
          <x14:colorMarkers rgb="FFD00000"/>
          <x14:colorFirst rgb="FFD00000"/>
          <x14:colorLast rgb="FFD00000"/>
          <x14:colorHigh theme="8" tint="-0.249977111117893"/>
          <x14:colorLow rgb="FFC00000"/>
          <x14:sparklines>
            <x14:sparkline>
              <xm:f>'일자별요약 (얼리포함)'!C24:I24</xm:f>
              <xm:sqref>J24</xm:sqref>
            </x14:sparkline>
            <x14:sparkline>
              <xm:f>'일자별요약 (얼리포함)'!C25:I25</xm:f>
              <xm:sqref>J25</xm:sqref>
            </x14:sparkline>
            <x14:sparkline>
              <xm:f>'일자별요약 (얼리포함)'!C26:I26</xm:f>
              <xm:sqref>J26</xm:sqref>
            </x14:sparkline>
            <x14:sparkline>
              <xm:f>'일자별요약 (얼리포함)'!C27:I27</xm:f>
              <xm:sqref>J27</xm:sqref>
            </x14:sparkline>
            <x14:sparkline>
              <xm:f>'일자별요약 (얼리포함)'!C28:I28</xm:f>
              <xm:sqref>J28</xm:sqref>
            </x14:sparkline>
            <x14:sparkline>
              <xm:f>'일자별요약 (얼리포함)'!C29:I29</xm:f>
              <xm:sqref>J29</xm:sqref>
            </x14:sparkline>
            <x14:sparkline>
              <xm:f>'일자별요약 (얼리포함)'!C30:I30</xm:f>
              <xm:sqref>J30</xm:sqref>
            </x14:sparkline>
            <x14:sparkline>
              <xm:f>'일자별요약 (얼리포함)'!C31:I31</xm:f>
              <xm:sqref>J31</xm:sqref>
            </x14:sparkline>
            <x14:sparkline>
              <xm:f>'일자별요약 (얼리포함)'!C32:I32</xm:f>
              <xm:sqref>J32</xm:sqref>
            </x14:sparkline>
            <x14:sparkline>
              <xm:f>'일자별요약 (얼리포함)'!C33:I33</xm:f>
              <xm:sqref>J33</xm:sqref>
            </x14:sparkline>
            <x14:sparkline>
              <xm:f>'일자별요약 (얼리포함)'!C34:I34</xm:f>
              <xm:sqref>J34</xm:sqref>
            </x14:sparkline>
            <x14:sparkline>
              <xm:f>'일자별요약 (얼리포함)'!C35:I35</xm:f>
              <xm:sqref>J35</xm:sqref>
            </x14:sparkline>
            <x14:sparkline>
              <xm:f>'일자별요약 (얼리포함)'!C36:I36</xm:f>
              <xm:sqref>J36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13</vt:i4>
      </vt:variant>
    </vt:vector>
  </HeadingPairs>
  <TitlesOfParts>
    <vt:vector size="24" baseType="lpstr">
      <vt:lpstr>선형그래프</vt:lpstr>
      <vt:lpstr>b_line</vt:lpstr>
      <vt:lpstr>b_stick</vt:lpstr>
      <vt:lpstr>d_gra</vt:lpstr>
      <vt:lpstr>일자별요약</vt:lpstr>
      <vt:lpstr>별첨_전시별,주차별</vt:lpstr>
      <vt:lpstr>주차별보고</vt:lpstr>
      <vt:lpstr>Sheet1</vt:lpstr>
      <vt:lpstr>daily</vt:lpstr>
      <vt:lpstr>graph_사진</vt:lpstr>
      <vt:lpstr>일자별요약 (얼리포함)</vt:lpstr>
      <vt:lpstr>graph_사진!Print_Area</vt:lpstr>
      <vt:lpstr>일자별요약!Print_Area</vt:lpstr>
      <vt:lpstr>'일자별요약 (얼리포함)'!Print_Area</vt:lpstr>
      <vt:lpstr>주차별보고!Print_Area</vt:lpstr>
      <vt:lpstr>김정기</vt:lpstr>
      <vt:lpstr>드리머</vt:lpstr>
      <vt:lpstr>마르지엘라</vt:lpstr>
      <vt:lpstr>바스키아</vt:lpstr>
      <vt:lpstr>알렉스</vt:lpstr>
      <vt:lpstr>오스틴_리</vt:lpstr>
      <vt:lpstr>윤협</vt:lpstr>
      <vt:lpstr>제이알</vt:lpstr>
      <vt:lpstr>페어리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</dc:creator>
  <cp:lastModifiedBy>USER</cp:lastModifiedBy>
  <cp:lastPrinted>2024-04-08T10:22:18Z</cp:lastPrinted>
  <dcterms:created xsi:type="dcterms:W3CDTF">2024-03-12T05:42:11Z</dcterms:created>
  <dcterms:modified xsi:type="dcterms:W3CDTF">2024-11-06T11:17:49Z</dcterms:modified>
</cp:coreProperties>
</file>